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kith R\Videos\Movavi Video Editor\Projects\"/>
    </mc:Choice>
  </mc:AlternateContent>
  <xr:revisionPtr revIDLastSave="0" documentId="13_ncr:1_{BE5EBDB6-5A60-4C23-8000-3C0EAF57FFF4}" xr6:coauthVersionLast="47" xr6:coauthVersionMax="47" xr10:uidLastSave="{00000000-0000-0000-0000-000000000000}"/>
  <bookViews>
    <workbookView xWindow="-120" yWindow="-120" windowWidth="20730" windowHeight="11040" firstSheet="6" activeTab="8" xr2:uid="{8CA6D854-9511-45CC-B000-EF175EE3BFFA}"/>
  </bookViews>
  <sheets>
    <sheet name="tariff_timeline" sheetId="7" r:id="rId1"/>
    <sheet name="Sheet8" sheetId="8" r:id="rId2"/>
    <sheet name="Detail1" sheetId="19" r:id="rId3"/>
    <sheet name="Country Imposed Most Tariffs" sheetId="9" r:id="rId4"/>
    <sheet name="Sector was Target Most" sheetId="10" r:id="rId5"/>
    <sheet name="Trend Tariff by Year" sheetId="11" r:id="rId6"/>
    <sheet name="Country wise Tariff " sheetId="20" r:id="rId7"/>
    <sheet name="KPI details" sheetId="18" r:id="rId8"/>
    <sheet name="Dashboard" sheetId="12" r:id="rId9"/>
  </sheets>
  <definedNames>
    <definedName name="Slicer_year">#N/A</definedName>
  </definedNames>
  <calcPr calcId="191029"/>
  <pivotCaches>
    <pivotCache cacheId="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8" l="1"/>
  <c r="G5" i="18"/>
  <c r="G4" i="18"/>
  <c r="D16" i="7"/>
  <c r="D3" i="7"/>
  <c r="D4" i="7"/>
  <c r="D5" i="7"/>
  <c r="D6" i="7"/>
  <c r="D7" i="7"/>
  <c r="D8" i="7"/>
  <c r="D9" i="7"/>
  <c r="D10" i="7"/>
  <c r="D11" i="7"/>
  <c r="D12" i="7"/>
  <c r="D13" i="7"/>
  <c r="D14" i="7"/>
  <c r="D15"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2" i="7"/>
</calcChain>
</file>

<file path=xl/sharedStrings.xml><?xml version="1.0" encoding="utf-8"?>
<sst xmlns="http://schemas.openxmlformats.org/spreadsheetml/2006/main" count="677" uniqueCount="207">
  <si>
    <t>UK</t>
  </si>
  <si>
    <t>India</t>
  </si>
  <si>
    <t>Mexico</t>
  </si>
  <si>
    <t>Canada</t>
  </si>
  <si>
    <t>China</t>
  </si>
  <si>
    <t>USA</t>
  </si>
  <si>
    <t>type</t>
  </si>
  <si>
    <t>year</t>
  </si>
  <si>
    <t>date</t>
  </si>
  <si>
    <t>sector</t>
  </si>
  <si>
    <t>month</t>
  </si>
  <si>
    <t>quarter</t>
  </si>
  <si>
    <t>notes</t>
  </si>
  <si>
    <t>source</t>
  </si>
  <si>
    <t>retaliation</t>
  </si>
  <si>
    <t>estimated_trade_value_usd_bn</t>
  </si>
  <si>
    <t>legal_basis</t>
  </si>
  <si>
    <t>tariff_rate_delta</t>
  </si>
  <si>
    <t>prev_rate_pct</t>
  </si>
  <si>
    <t>tariff_rate_pct</t>
  </si>
  <si>
    <t>target_country</t>
  </si>
  <si>
    <t>imposing_country</t>
  </si>
  <si>
    <t>Global</t>
  </si>
  <si>
    <t>Semiconductors</t>
  </si>
  <si>
    <t>Agriculture</t>
  </si>
  <si>
    <t>2026-05</t>
  </si>
  <si>
    <t>2026Q2</t>
  </si>
  <si>
    <t>US plans to hike tariffs on EU cars to 25% will hit luxury market the most</t>
  </si>
  <si>
    <t>Al Jazeera English</t>
  </si>
  <si>
    <t>NewsAPI</t>
  </si>
  <si>
    <t>General</t>
  </si>
  <si>
    <t>EU</t>
  </si>
  <si>
    <t>Trump Threatened European Cars With a 25% Tariff. Again.</t>
  </si>
  <si>
    <t>Moby.co</t>
  </si>
  <si>
    <t>Trump Says He Will Raise Tariffs on European Cars and Trucks to 25%</t>
  </si>
  <si>
    <t>Breitbart News</t>
  </si>
  <si>
    <t>UK exports to U.S. plunge by 25% after Trump's 'liberation day' tariffs blitz</t>
  </si>
  <si>
    <t>CNBC</t>
  </si>
  <si>
    <t>2026-04</t>
  </si>
  <si>
    <t>Trump threatens 50% tariffs on China as report suggests plans for arms shipment to Iran</t>
  </si>
  <si>
    <t>Trump Threatens 50% Tariffs on Nations Supplying Weapons to Iran</t>
  </si>
  <si>
    <t>Naturalnews.com</t>
  </si>
  <si>
    <t>US trade court weighs legality of Trump 10% global tariff</t>
  </si>
  <si>
    <t>The Times of India</t>
  </si>
  <si>
    <t>2025-07</t>
  </si>
  <si>
    <t>2025Q3</t>
  </si>
  <si>
    <t>India retaliates with 100% duties on US farm products</t>
  </si>
  <si>
    <t>MoCI India</t>
  </si>
  <si>
    <t>Customs Tariff Act 1975</t>
  </si>
  <si>
    <t>Retaliation</t>
  </si>
  <si>
    <t>IND</t>
  </si>
  <si>
    <t>Post-90-day pause: India-specific tariffs reinstated at 26%</t>
  </si>
  <si>
    <t>USTR.gov</t>
  </si>
  <si>
    <t>IEEPA</t>
  </si>
  <si>
    <t>New Tariff</t>
  </si>
  <si>
    <t>Pharma, Electronics</t>
  </si>
  <si>
    <t>2025-04</t>
  </si>
  <si>
    <t>2025Q2</t>
  </si>
  <si>
    <t>China raises to 125% â€” announces no further escalations regardless of US actions</t>
  </si>
  <si>
    <t>MOFCOM</t>
  </si>
  <si>
    <t>MOFCOM Order</t>
  </si>
  <si>
    <t>All Goods</t>
  </si>
  <si>
    <t>CHN</t>
  </si>
  <si>
    <t>EU first-wave countermeasures on â‚¬26B of US goods</t>
  </si>
  <si>
    <t>European Commission</t>
  </si>
  <si>
    <t>EU Safeguard Regulation</t>
  </si>
  <si>
    <t>Steel, Agriculture, Consumer</t>
  </si>
  <si>
    <t>EU27</t>
  </si>
  <si>
    <t>20% tariff on all EU goods; 90-day pause announced same day for non-China</t>
  </si>
  <si>
    <t>Escalation</t>
  </si>
  <si>
    <t>US raises China tariffs to 145% after China's 84% counter-tariff</t>
  </si>
  <si>
    <t>IEEPA + Section 301</t>
  </si>
  <si>
    <t>China escalates to 84% retaliatory tariff matching US aggression</t>
  </si>
  <si>
    <t>China responds to Liberation Day with blanket 34% tariff on all US goods</t>
  </si>
  <si>
    <t>Liberation Day â€” 10% universal baseline tariff on ALL US imports</t>
  </si>
  <si>
    <t>Universal Baseline</t>
  </si>
  <si>
    <t>ALL</t>
  </si>
  <si>
    <t>2025-03</t>
  </si>
  <si>
    <t>2025Q1</t>
  </si>
  <si>
    <t>Section 232 steel tariffs reinstated globally â€” Canada and Mexico exemptions removed</t>
  </si>
  <si>
    <t>Federal Register</t>
  </si>
  <si>
    <t>Section 232</t>
  </si>
  <si>
    <t>Expansion</t>
  </si>
  <si>
    <t>Steel</t>
  </si>
  <si>
    <t>EU reimpose 2018-era retaliatory duties in response to global steel tariffs</t>
  </si>
  <si>
    <t>Steel, Bourbon, Motorcycles</t>
  </si>
  <si>
    <t>Trump doubles down â€” cumulative China tariff rises to 20%</t>
  </si>
  <si>
    <t>Whitehouse.gov</t>
  </si>
  <si>
    <t>2025-02</t>
  </si>
  <si>
    <t>Canada dollar-for-dollar retaliation on C$42B of US goods</t>
  </si>
  <si>
    <t>Canada.ca</t>
  </si>
  <si>
    <t>Customs Tariff Act</t>
  </si>
  <si>
    <t>Consumer Goods, Steel</t>
  </si>
  <si>
    <t>CAN</t>
  </si>
  <si>
    <t>China retaliates: 15% on LNG/coal, 10% on crude oil &amp; farm equipment</t>
  </si>
  <si>
    <t>Agriculture, Energy</t>
  </si>
  <si>
    <t>25% tariffs on all Mexican imports; partially paused after talks</t>
  </si>
  <si>
    <t>MEX</t>
  </si>
  <si>
    <t>25% tariffs on all Canadian imports citing fentanyl/border security</t>
  </si>
  <si>
    <t>2025-01</t>
  </si>
  <si>
    <t>Day-1 executive order â€” 10% blanket tariff on all Chinese imports</t>
  </si>
  <si>
    <t>Section 301</t>
  </si>
  <si>
    <t>2024-12</t>
  </si>
  <si>
    <t>2024Q4</t>
  </si>
  <si>
    <t>China retaliates on EU dairy and pork following EV tariff</t>
  </si>
  <si>
    <t>Dairy, Pork</t>
  </si>
  <si>
    <t>2024-10</t>
  </si>
  <si>
    <t>EU adds provisional countervailing duties on Chinese EVs (BYD 17%, SAIC 35.3%)</t>
  </si>
  <si>
    <t>EU Anti-Subsidy Regulation</t>
  </si>
  <si>
    <t>EVs</t>
  </si>
  <si>
    <t>2024-05</t>
  </si>
  <si>
    <t>2024Q2</t>
  </si>
  <si>
    <t>Biden triples Section 301 steel and aluminum tariffs on China</t>
  </si>
  <si>
    <t>Section 301 Review</t>
  </si>
  <si>
    <t>Steel, Aluminum</t>
  </si>
  <si>
    <t>Biden raises China EV tariff from 25% to 100%</t>
  </si>
  <si>
    <t>Biden raises chip tariffs to 50%; ship-to-shore cranes to 25%</t>
  </si>
  <si>
    <t>2023-12</t>
  </si>
  <si>
    <t>2023Q4</t>
  </si>
  <si>
    <t>China restricts graphite exports â€” critical for EV batteries</t>
  </si>
  <si>
    <t>PRC Export Controls Law</t>
  </si>
  <si>
    <t>Export Restriction</t>
  </si>
  <si>
    <t>Graphite</t>
  </si>
  <si>
    <t>2023-07</t>
  </si>
  <si>
    <t>2023Q3</t>
  </si>
  <si>
    <t>China restricts exports of gallium and germanium â€” critical semiconductor materials</t>
  </si>
  <si>
    <t>Gallium, Germanium</t>
  </si>
  <si>
    <t>2022-10</t>
  </si>
  <si>
    <t>2022Q4</t>
  </si>
  <si>
    <t>BIS expands chip export controls â€” bans advanced semiconductors &amp; chip-making tools to China</t>
  </si>
  <si>
    <t>BIS / Commerce Dept</t>
  </si>
  <si>
    <t>EAR / Export Controls</t>
  </si>
  <si>
    <t>Export Control</t>
  </si>
  <si>
    <t>Semiconductors, AI Chips</t>
  </si>
  <si>
    <t>2021-04</t>
  </si>
  <si>
    <t>2021Q2</t>
  </si>
  <si>
    <t>US-EU tariff truce: Steel/aluminum tariffs suspended for 2 years (TRQ arrangement)</t>
  </si>
  <si>
    <t>Bilateral Agreement</t>
  </si>
  <si>
    <t>Reduction</t>
  </si>
  <si>
    <t>2020-02</t>
  </si>
  <si>
    <t>2020Q1</t>
  </si>
  <si>
    <t>US expands Airbus-linked tariffs on EU goods (WTO-authorized countermeasures)</t>
  </si>
  <si>
    <t>WTO Authorization</t>
  </si>
  <si>
    <t>Airbus, Cheese, Wine</t>
  </si>
  <si>
    <t>2020-01</t>
  </si>
  <si>
    <t>Phase 1 deal: List 4A cut to 7.5%; List 4B suspended; China pledges $200B in US purchases</t>
  </si>
  <si>
    <t>Phase 1 Agreement</t>
  </si>
  <si>
    <t>Consumer Goods, Phase 1 Rollback</t>
  </si>
  <si>
    <t>2019-09</t>
  </si>
  <si>
    <t>2019Q3</t>
  </si>
  <si>
    <t>List 4A: 15% on $112B including consumer electronics, apparel, footwear</t>
  </si>
  <si>
    <t>Consumer Electronics, Apparel, Footwear</t>
  </si>
  <si>
    <t>2019-06</t>
  </si>
  <si>
    <t>2019Q2</t>
  </si>
  <si>
    <t>China raises List 3 retaliation rates to match US escalation</t>
  </si>
  <si>
    <t>Agriculture, LNG, Chemicals</t>
  </si>
  <si>
    <t>2019-05</t>
  </si>
  <si>
    <t>List 3 tariffs raised from 10% to 25% after trade talks break down</t>
  </si>
  <si>
    <t>Consumer Goods, Furniture, Electronics</t>
  </si>
  <si>
    <t>2018-09</t>
  </si>
  <si>
    <t>2018Q3</t>
  </si>
  <si>
    <t>List 3: $200B of Chinese goods at 10% (rising to 25% in May 2019)</t>
  </si>
  <si>
    <t>China's $60B List 3 retaliation at 5â€“10%</t>
  </si>
  <si>
    <t>LNG, Agriculture, Aircraft</t>
  </si>
  <si>
    <t>2018-08</t>
  </si>
  <si>
    <t>China's List 2 retaliation â€” oil, coal, medical equipment</t>
  </si>
  <si>
    <t>Coal, Oil, Medical, Autos</t>
  </si>
  <si>
    <t>List 2: additional $16B in Chinese goods</t>
  </si>
  <si>
    <t>Semiconductors, Chemicals, Rail</t>
  </si>
  <si>
    <t>2018-07</t>
  </si>
  <si>
    <t>China retaliates on $34B US goods â€” soybeans, autos, pork</t>
  </si>
  <si>
    <t>Agriculture, Autos, Seafood</t>
  </si>
  <si>
    <t>List 1: $34B in Chinese tech goods hit with 25% tariffs</t>
  </si>
  <si>
    <t>Tech, Industrial, Aerospace</t>
  </si>
  <si>
    <t>2018-06</t>
  </si>
  <si>
    <t>2018Q2</t>
  </si>
  <si>
    <t>Mexico targets US farm products and steel in tit-for-tat retaliation</t>
  </si>
  <si>
    <t>Economy Ministry Mexico</t>
  </si>
  <si>
    <t>Mexican Customs Law</t>
  </si>
  <si>
    <t>Steel, Pork, Cheese, Apples</t>
  </si>
  <si>
    <t>Canada dollar-for-dollar retaliation on C$16.6B of US goods</t>
  </si>
  <si>
    <t>Steel, Aluminum, Consumer</t>
  </si>
  <si>
    <t>EU retaliates on Harley-Davidson, bourbon, steel with 25% duties</t>
  </si>
  <si>
    <t>Steel, Consumer, Agriculture</t>
  </si>
  <si>
    <t>2018-03</t>
  </si>
  <si>
    <t>2018Q1</t>
  </si>
  <si>
    <t>Trump signs 10% global aluminum tariffs under national security grounds</t>
  </si>
  <si>
    <t>Aluminum</t>
  </si>
  <si>
    <t>Trump signs 25% global steel tariffs under national security grounds</t>
  </si>
  <si>
    <t>Short Form</t>
  </si>
  <si>
    <t>Full Name</t>
  </si>
  <si>
    <t>United States</t>
  </si>
  <si>
    <t>European Union (27 European countries group)</t>
  </si>
  <si>
    <t xml:space="preserve">Country_Full Name </t>
  </si>
  <si>
    <t>Row Labels</t>
  </si>
  <si>
    <t>Grand Total</t>
  </si>
  <si>
    <t>Count of source</t>
  </si>
  <si>
    <t>Count of sector</t>
  </si>
  <si>
    <t>Average of tariff_rate_pct</t>
  </si>
  <si>
    <t xml:space="preserve">Count of Country_Full Name </t>
  </si>
  <si>
    <t>Max of tariff_rate_pct</t>
  </si>
  <si>
    <t>Details for Max of tariff_rate_pct - Country_Full Name : China</t>
  </si>
  <si>
    <t>KPI</t>
  </si>
  <si>
    <t>Which Value</t>
  </si>
  <si>
    <t>Highest Tariff</t>
  </si>
  <si>
    <t>Average Tariff</t>
  </si>
  <si>
    <t>Most Active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</si>
</sst>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2"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2" fillId="2" borderId="0" xfId="0" applyFont="1" applyFill="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0" borderId="0" xfId="0" applyFont="1"/>
    <xf numFmtId="164" fontId="0" fillId="0" borderId="0" xfId="0" applyNumberFormat="1" applyAlignment="1">
      <alignment vertical="center" wrapText="1"/>
    </xf>
  </cellXfs>
  <cellStyles count="1">
    <cellStyle name="Normal" xfId="0" builtinId="0"/>
  </cellStyles>
  <dxfs count="113">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64" formatCode="0\%"/>
    </dxf>
    <dxf>
      <numFmt numFmtId="19" formatCode="dd/mm/yyyy"/>
    </dxf>
    <dxf>
      <numFmt numFmtId="164" formatCode="0\%"/>
    </dxf>
    <dxf>
      <numFmt numFmtId="164" formatCode="0\%"/>
    </dxf>
    <dxf>
      <numFmt numFmtId="13" formatCode="0%"/>
    </dxf>
    <dxf>
      <fill>
        <patternFill patternType="solid">
          <fgColor indexed="64"/>
          <bgColor rgb="FFFFFF00"/>
        </patternFill>
      </fill>
    </dxf>
    <dxf>
      <fill>
        <patternFill patternType="solid">
          <fgColor indexed="64"/>
          <bgColor rgb="FFFFFF00"/>
        </patternFill>
      </fill>
    </dxf>
    <dxf>
      <fill>
        <patternFill>
          <fgColor indexed="64"/>
          <bgColor rgb="FFFFFF00"/>
        </patternFill>
      </fill>
    </dxf>
    <dxf>
      <fill>
        <patternFill patternType="solid">
          <fgColor indexed="64"/>
          <bgColor rgb="FFFFFF00"/>
        </patternFill>
      </fill>
    </dxf>
    <dxf>
      <numFmt numFmtId="0" formatCode="General"/>
      <fill>
        <patternFill patternType="solid">
          <fgColor indexed="64"/>
          <bgColor rgb="FFFFFF00"/>
        </patternFill>
      </fill>
    </dxf>
    <dxf>
      <numFmt numFmtId="19" formatCode="dd/mm/yyyy"/>
    </dxf>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colors>
    <mruColors>
      <color rgb="FFCDF6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[Mark-1.xlsx]Country Imposed Most Tariffs!PivotTable1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Imposed Most Tariffs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Imposed Most Tariffs'!$B$3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Imposed Most Tariffs'!$A$4:$A$19</c:f>
              <c:strCache>
                <c:ptCount val="15"/>
                <c:pt idx="0">
                  <c:v>Al Jazeera English</c:v>
                </c:pt>
                <c:pt idx="1">
                  <c:v>BIS / Commerce Dept</c:v>
                </c:pt>
                <c:pt idx="2">
                  <c:v>Breitbart News</c:v>
                </c:pt>
                <c:pt idx="3">
                  <c:v>Canada.ca</c:v>
                </c:pt>
                <c:pt idx="4">
                  <c:v>CNBC</c:v>
                </c:pt>
                <c:pt idx="5">
                  <c:v>Economy Ministry Mexico</c:v>
                </c:pt>
                <c:pt idx="6">
                  <c:v>European Commission</c:v>
                </c:pt>
                <c:pt idx="7">
                  <c:v>Federal Register</c:v>
                </c:pt>
                <c:pt idx="8">
                  <c:v>Moby.co</c:v>
                </c:pt>
                <c:pt idx="9">
                  <c:v>MoCI India</c:v>
                </c:pt>
                <c:pt idx="10">
                  <c:v>MOFCOM</c:v>
                </c:pt>
                <c:pt idx="11">
                  <c:v>Naturalnews.com</c:v>
                </c:pt>
                <c:pt idx="12">
                  <c:v>The Times of India</c:v>
                </c:pt>
                <c:pt idx="13">
                  <c:v>USTR.gov</c:v>
                </c:pt>
                <c:pt idx="14">
                  <c:v>Whitehouse.gov</c:v>
                </c:pt>
              </c:strCache>
            </c:strRef>
          </c:cat>
          <c:val>
            <c:numRef>
              <c:f>'Country Imposed Most Tariffs'!$B$4:$B$19</c:f>
              <c:numCache>
                <c:formatCode>General</c:formatCode>
                <c:ptCount val="15"/>
                <c:pt idx="0">
                  <c:v>1</c:v>
                </c:pt>
                <c:pt idx="1">
                  <c:v>1</c:v>
                </c:pt>
                <c:pt idx="2">
                  <c:v>1</c:v>
                </c:pt>
                <c:pt idx="3">
                  <c:v>2</c:v>
                </c:pt>
                <c:pt idx="4">
                  <c:v>2</c:v>
                </c:pt>
                <c:pt idx="5">
                  <c:v>1</c:v>
                </c:pt>
                <c:pt idx="6">
                  <c:v>4</c:v>
                </c:pt>
                <c:pt idx="7">
                  <c:v>3</c:v>
                </c:pt>
                <c:pt idx="8">
                  <c:v>1</c:v>
                </c:pt>
                <c:pt idx="9">
                  <c:v>1</c:v>
                </c:pt>
                <c:pt idx="10">
                  <c:v>11</c:v>
                </c:pt>
                <c:pt idx="11">
                  <c:v>1</c:v>
                </c:pt>
                <c:pt idx="12">
                  <c:v>1</c:v>
                </c:pt>
                <c:pt idx="13">
                  <c:v>14</c:v>
                </c:pt>
                <c:pt idx="14">
                  <c:v>5</c:v>
                </c:pt>
              </c:numCache>
            </c:numRef>
          </c:val>
          <c:extLst>
            <c:ext xmlns:c16="http://schemas.microsoft.com/office/drawing/2014/chart" uri="{C3380CC4-5D6E-409C-BE32-E72D297353CC}">
              <c16:uniqueId val="{00000000-28B6-4745-B582-733F3DD11244}"/>
            </c:ext>
          </c:extLst>
        </c:ser>
        <c:dLbls>
          <c:dLblPos val="outEnd"/>
          <c:showLegendKey val="0"/>
          <c:showVal val="1"/>
          <c:showCatName val="0"/>
          <c:showSerName val="0"/>
          <c:showPercent val="0"/>
          <c:showBubbleSize val="0"/>
        </c:dLbls>
        <c:gapWidth val="182"/>
        <c:axId val="458285424"/>
        <c:axId val="458294064"/>
      </c:barChart>
      <c:catAx>
        <c:axId val="45828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294064"/>
        <c:crosses val="autoZero"/>
        <c:auto val="1"/>
        <c:lblAlgn val="ctr"/>
        <c:lblOffset val="100"/>
        <c:noMultiLvlLbl val="0"/>
      </c:catAx>
      <c:valAx>
        <c:axId val="45829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28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[Mark-1.xlsx]Sector was Target Most!PivotTable2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Sector was</a:t>
            </a:r>
            <a:r>
              <a:rPr lang="en-US" b="1" baseline="0"/>
              <a:t> Target Most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'Sector was Target Most'!$B$1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 was Target Most'!$A$2:$A$32</c:f>
              <c:strCache>
                <c:ptCount val="30"/>
                <c:pt idx="0">
                  <c:v>Agriculture</c:v>
                </c:pt>
                <c:pt idx="1">
                  <c:v>Agriculture, Autos, Seafood</c:v>
                </c:pt>
                <c:pt idx="2">
                  <c:v>Agriculture, Energy</c:v>
                </c:pt>
                <c:pt idx="3">
                  <c:v>Agriculture, LNG, Chemicals</c:v>
                </c:pt>
                <c:pt idx="4">
                  <c:v>Airbus, Cheese, Wine</c:v>
                </c:pt>
                <c:pt idx="5">
                  <c:v>All Goods</c:v>
                </c:pt>
                <c:pt idx="6">
                  <c:v>Aluminum</c:v>
                </c:pt>
                <c:pt idx="7">
                  <c:v>Coal, Oil, Medical, Autos</c:v>
                </c:pt>
                <c:pt idx="8">
                  <c:v>Consumer Electronics, Apparel, Footwear</c:v>
                </c:pt>
                <c:pt idx="9">
                  <c:v>Consumer Goods, Furniture, Electronics</c:v>
                </c:pt>
                <c:pt idx="10">
                  <c:v>Consumer Goods, Phase 1 Rollback</c:v>
                </c:pt>
                <c:pt idx="11">
                  <c:v>Consumer Goods, Steel</c:v>
                </c:pt>
                <c:pt idx="12">
                  <c:v>Dairy, Pork</c:v>
                </c:pt>
                <c:pt idx="13">
                  <c:v>EVs</c:v>
                </c:pt>
                <c:pt idx="14">
                  <c:v>Gallium, Germanium</c:v>
                </c:pt>
                <c:pt idx="15">
                  <c:v>General</c:v>
                </c:pt>
                <c:pt idx="16">
                  <c:v>Graphite</c:v>
                </c:pt>
                <c:pt idx="17">
                  <c:v>LNG, Agriculture, Aircraft</c:v>
                </c:pt>
                <c:pt idx="18">
                  <c:v>Pharma, Electronics</c:v>
                </c:pt>
                <c:pt idx="19">
                  <c:v>Semiconductors</c:v>
                </c:pt>
                <c:pt idx="20">
                  <c:v>Semiconductors, AI Chips</c:v>
                </c:pt>
                <c:pt idx="21">
                  <c:v>Semiconductors, Chemicals, Rail</c:v>
                </c:pt>
                <c:pt idx="22">
                  <c:v>Steel</c:v>
                </c:pt>
                <c:pt idx="23">
                  <c:v>Steel, Agriculture, Consumer</c:v>
                </c:pt>
                <c:pt idx="24">
                  <c:v>Steel, Aluminum</c:v>
                </c:pt>
                <c:pt idx="25">
                  <c:v>Steel, Aluminum, Consumer</c:v>
                </c:pt>
                <c:pt idx="26">
                  <c:v>Steel, Bourbon, Motorcycles</c:v>
                </c:pt>
                <c:pt idx="27">
                  <c:v>Steel, Consumer, Agriculture</c:v>
                </c:pt>
                <c:pt idx="28">
                  <c:v>Steel, Pork, Cheese, Apples</c:v>
                </c:pt>
                <c:pt idx="29">
                  <c:v>Tech, Industrial, Aerospace</c:v>
                </c:pt>
              </c:strCache>
            </c:strRef>
          </c:cat>
          <c:val>
            <c:numRef>
              <c:f>'Sector was Target Most'!$B$2:$B$32</c:f>
              <c:numCache>
                <c:formatCode>General</c:formatCode>
                <c:ptCount val="30"/>
                <c:pt idx="0">
                  <c:v>1</c:v>
                </c:pt>
                <c:pt idx="1">
                  <c:v>1</c:v>
                </c:pt>
                <c:pt idx="2">
                  <c:v>1</c:v>
                </c:pt>
                <c:pt idx="3">
                  <c:v>1</c:v>
                </c:pt>
                <c:pt idx="4">
                  <c:v>1</c:v>
                </c:pt>
                <c:pt idx="5">
                  <c:v>10</c:v>
                </c:pt>
                <c:pt idx="6">
                  <c:v>1</c:v>
                </c:pt>
                <c:pt idx="7">
                  <c:v>1</c:v>
                </c:pt>
                <c:pt idx="8">
                  <c:v>1</c:v>
                </c:pt>
                <c:pt idx="9">
                  <c:v>2</c:v>
                </c:pt>
                <c:pt idx="10">
                  <c:v>1</c:v>
                </c:pt>
                <c:pt idx="11">
                  <c:v>1</c:v>
                </c:pt>
                <c:pt idx="12">
                  <c:v>1</c:v>
                </c:pt>
                <c:pt idx="13">
                  <c:v>2</c:v>
                </c:pt>
                <c:pt idx="14">
                  <c:v>1</c:v>
                </c:pt>
                <c:pt idx="15">
                  <c:v>7</c:v>
                </c:pt>
                <c:pt idx="16">
                  <c:v>1</c:v>
                </c:pt>
                <c:pt idx="17">
                  <c:v>1</c:v>
                </c:pt>
                <c:pt idx="18">
                  <c:v>1</c:v>
                </c:pt>
                <c:pt idx="19">
                  <c:v>1</c:v>
                </c:pt>
                <c:pt idx="20">
                  <c:v>1</c:v>
                </c:pt>
                <c:pt idx="21">
                  <c:v>1</c:v>
                </c:pt>
                <c:pt idx="22">
                  <c:v>2</c:v>
                </c:pt>
                <c:pt idx="23">
                  <c:v>1</c:v>
                </c:pt>
                <c:pt idx="24">
                  <c:v>2</c:v>
                </c:pt>
                <c:pt idx="25">
                  <c:v>1</c:v>
                </c:pt>
                <c:pt idx="26">
                  <c:v>1</c:v>
                </c:pt>
                <c:pt idx="27">
                  <c:v>1</c:v>
                </c:pt>
                <c:pt idx="28">
                  <c:v>1</c:v>
                </c:pt>
                <c:pt idx="29">
                  <c:v>1</c:v>
                </c:pt>
              </c:numCache>
            </c:numRef>
          </c:val>
          <c:extLst>
            <c:ext xmlns:c16="http://schemas.microsoft.com/office/drawing/2014/chart" uri="{C3380CC4-5D6E-409C-BE32-E72D297353CC}">
              <c16:uniqueId val="{00000000-832B-4497-B99E-2732E897D2C0}"/>
            </c:ext>
          </c:extLst>
        </c:ser>
        <c:dLbls>
          <c:dLblPos val="outEnd"/>
          <c:showLegendKey val="0"/>
          <c:showVal val="1"/>
          <c:showCatName val="0"/>
          <c:showSerName val="0"/>
          <c:showPercent val="0"/>
          <c:showBubbleSize val="0"/>
        </c:dLbls>
        <c:gapWidth val="219"/>
        <c:overlap val="-27"/>
        <c:axId val="458307504"/>
        <c:axId val="458308944"/>
      </c:barChart>
      <c:catAx>
        <c:axId val="4583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308944"/>
        <c:crosses val="autoZero"/>
        <c:auto val="1"/>
        <c:lblAlgn val="ctr"/>
        <c:lblOffset val="100"/>
        <c:noMultiLvlLbl val="0"/>
      </c:catAx>
      <c:valAx>
        <c:axId val="45830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0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[Mark-1.xlsx]Trend Tariff by Year!PivotTable3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 Tariff</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Tariff by Year'!$B$2</c:f>
              <c:strCache>
                <c:ptCount val="1"/>
                <c:pt idx="0">
                  <c:v>Total</c:v>
                </c:pt>
              </c:strCache>
            </c:strRef>
          </c:tx>
          <c:spPr>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Tariff by Year'!$A$3:$A$12</c:f>
              <c:strCache>
                <c:ptCount val="9"/>
                <c:pt idx="0">
                  <c:v>2018</c:v>
                </c:pt>
                <c:pt idx="1">
                  <c:v>2019</c:v>
                </c:pt>
                <c:pt idx="2">
                  <c:v>2020</c:v>
                </c:pt>
                <c:pt idx="3">
                  <c:v>2021</c:v>
                </c:pt>
                <c:pt idx="4">
                  <c:v>2022</c:v>
                </c:pt>
                <c:pt idx="5">
                  <c:v>2023</c:v>
                </c:pt>
                <c:pt idx="6">
                  <c:v>2024</c:v>
                </c:pt>
                <c:pt idx="7">
                  <c:v>2025</c:v>
                </c:pt>
                <c:pt idx="8">
                  <c:v>2026</c:v>
                </c:pt>
              </c:strCache>
            </c:strRef>
          </c:cat>
          <c:val>
            <c:numRef>
              <c:f>'Trend Tariff by Year'!$B$3:$B$12</c:f>
              <c:numCache>
                <c:formatCode>0\%</c:formatCode>
                <c:ptCount val="9"/>
                <c:pt idx="0">
                  <c:v>20.454545454545453</c:v>
                </c:pt>
                <c:pt idx="1">
                  <c:v>21.666666666666668</c:v>
                </c:pt>
                <c:pt idx="2">
                  <c:v>16.25</c:v>
                </c:pt>
                <c:pt idx="3">
                  <c:v>0</c:v>
                </c:pt>
                <c:pt idx="4">
                  <c:v>25</c:v>
                </c:pt>
                <c:pt idx="5">
                  <c:v>100</c:v>
                </c:pt>
                <c:pt idx="6">
                  <c:v>48</c:v>
                </c:pt>
                <c:pt idx="7">
                  <c:v>43.470588235294116</c:v>
                </c:pt>
                <c:pt idx="8">
                  <c:v>30</c:v>
                </c:pt>
              </c:numCache>
            </c:numRef>
          </c:val>
          <c:smooth val="0"/>
          <c:extLst>
            <c:ext xmlns:c16="http://schemas.microsoft.com/office/drawing/2014/chart" uri="{C3380CC4-5D6E-409C-BE32-E72D297353CC}">
              <c16:uniqueId val="{00000000-8954-408B-9BA5-F9F3EEBBDF1C}"/>
            </c:ext>
          </c:extLst>
        </c:ser>
        <c:dLbls>
          <c:dLblPos val="t"/>
          <c:showLegendKey val="0"/>
          <c:showVal val="1"/>
          <c:showCatName val="0"/>
          <c:showSerName val="0"/>
          <c:showPercent val="0"/>
          <c:showBubbleSize val="0"/>
        </c:dLbls>
        <c:marker val="1"/>
        <c:smooth val="0"/>
        <c:axId val="458322384"/>
        <c:axId val="458315664"/>
      </c:lineChart>
      <c:catAx>
        <c:axId val="458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315664"/>
        <c:crosses val="autoZero"/>
        <c:auto val="1"/>
        <c:lblAlgn val="ctr"/>
        <c:lblOffset val="100"/>
        <c:noMultiLvlLbl val="0"/>
      </c:catAx>
      <c:valAx>
        <c:axId val="45831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3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[Mark-1.xlsx]Country wise Tariff !PivotTable3</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kern="1200" spc="0" baseline="0">
                <a:solidFill>
                  <a:sysClr val="windowText" lastClr="000000">
                    <a:lumMod val="65000"/>
                    <a:lumOff val="35000"/>
                  </a:sysClr>
                </a:solidFill>
              </a:rPr>
              <a:t>Country wise Tariff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lumMod val="60000"/>
              <a:lumOff val="40000"/>
            </a:schemeClr>
          </a:solidFill>
          <a:ln>
            <a:solidFill>
              <a:srgbClr val="92D050"/>
            </a:solidFill>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Tariff '!$B$2</c:f>
              <c:strCache>
                <c:ptCount val="1"/>
                <c:pt idx="0">
                  <c:v>Total</c:v>
                </c:pt>
              </c:strCache>
            </c:strRef>
          </c:tx>
          <c:spPr>
            <a:solidFill>
              <a:schemeClr val="accent6">
                <a:lumMod val="60000"/>
                <a:lumOff val="40000"/>
              </a:schemeClr>
            </a:solidFill>
            <a:ln>
              <a:solidFill>
                <a:srgbClr val="92D05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Tariff '!$A$3:$A$14</c:f>
              <c:strCache>
                <c:ptCount val="11"/>
                <c:pt idx="0">
                  <c:v>ALL</c:v>
                </c:pt>
                <c:pt idx="1">
                  <c:v>CAN</c:v>
                </c:pt>
                <c:pt idx="2">
                  <c:v>China</c:v>
                </c:pt>
                <c:pt idx="3">
                  <c:v>CHN</c:v>
                </c:pt>
                <c:pt idx="4">
                  <c:v>EU</c:v>
                </c:pt>
                <c:pt idx="5">
                  <c:v>EU27</c:v>
                </c:pt>
                <c:pt idx="6">
                  <c:v>Global</c:v>
                </c:pt>
                <c:pt idx="7">
                  <c:v>IND</c:v>
                </c:pt>
                <c:pt idx="8">
                  <c:v>MEX</c:v>
                </c:pt>
                <c:pt idx="9">
                  <c:v>UK</c:v>
                </c:pt>
                <c:pt idx="10">
                  <c:v>USA</c:v>
                </c:pt>
              </c:strCache>
            </c:strRef>
          </c:cat>
          <c:val>
            <c:numRef>
              <c:f>'Country wise Tariff '!$B$3:$B$14</c:f>
              <c:numCache>
                <c:formatCode>0\%</c:formatCode>
                <c:ptCount val="11"/>
                <c:pt idx="0">
                  <c:v>45</c:v>
                </c:pt>
                <c:pt idx="1">
                  <c:v>25</c:v>
                </c:pt>
                <c:pt idx="2">
                  <c:v>50</c:v>
                </c:pt>
                <c:pt idx="3">
                  <c:v>36.964285714285715</c:v>
                </c:pt>
                <c:pt idx="4">
                  <c:v>25</c:v>
                </c:pt>
                <c:pt idx="5">
                  <c:v>18.75</c:v>
                </c:pt>
                <c:pt idx="6">
                  <c:v>30</c:v>
                </c:pt>
                <c:pt idx="7">
                  <c:v>26</c:v>
                </c:pt>
                <c:pt idx="8">
                  <c:v>25</c:v>
                </c:pt>
                <c:pt idx="9">
                  <c:v>25</c:v>
                </c:pt>
                <c:pt idx="10">
                  <c:v>39.200000000000003</c:v>
                </c:pt>
              </c:numCache>
            </c:numRef>
          </c:val>
          <c:extLst>
            <c:ext xmlns:c16="http://schemas.microsoft.com/office/drawing/2014/chart" uri="{C3380CC4-5D6E-409C-BE32-E72D297353CC}">
              <c16:uniqueId val="{00000000-1699-4D4E-91D5-99A084C012AE}"/>
            </c:ext>
          </c:extLst>
        </c:ser>
        <c:dLbls>
          <c:showLegendKey val="0"/>
          <c:showVal val="1"/>
          <c:showCatName val="0"/>
          <c:showSerName val="0"/>
          <c:showPercent val="0"/>
          <c:showBubbleSize val="0"/>
        </c:dLbls>
        <c:gapWidth val="150"/>
        <c:axId val="458322384"/>
        <c:axId val="458315664"/>
      </c:barChart>
      <c:catAx>
        <c:axId val="458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8315664"/>
        <c:crosses val="autoZero"/>
        <c:auto val="1"/>
        <c:lblAlgn val="ctr"/>
        <c:lblOffset val="100"/>
        <c:noMultiLvlLbl val="0"/>
      </c:catAx>
      <c:valAx>
        <c:axId val="45831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83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[Mark-1.xlsx]Country Imposed Most Tariffs!PivotTable1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Imposed Most Tariffs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Imposed Most Tariffs'!$B$3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Imposed Most Tariffs'!$A$4:$A$19</c:f>
              <c:strCache>
                <c:ptCount val="15"/>
                <c:pt idx="0">
                  <c:v>Al Jazeera English</c:v>
                </c:pt>
                <c:pt idx="1">
                  <c:v>BIS / Commerce Dept</c:v>
                </c:pt>
                <c:pt idx="2">
                  <c:v>Breitbart News</c:v>
                </c:pt>
                <c:pt idx="3">
                  <c:v>Canada.ca</c:v>
                </c:pt>
                <c:pt idx="4">
                  <c:v>CNBC</c:v>
                </c:pt>
                <c:pt idx="5">
                  <c:v>Economy Ministry Mexico</c:v>
                </c:pt>
                <c:pt idx="6">
                  <c:v>European Commission</c:v>
                </c:pt>
                <c:pt idx="7">
                  <c:v>Federal Register</c:v>
                </c:pt>
                <c:pt idx="8">
                  <c:v>Moby.co</c:v>
                </c:pt>
                <c:pt idx="9">
                  <c:v>MoCI India</c:v>
                </c:pt>
                <c:pt idx="10">
                  <c:v>MOFCOM</c:v>
                </c:pt>
                <c:pt idx="11">
                  <c:v>Naturalnews.com</c:v>
                </c:pt>
                <c:pt idx="12">
                  <c:v>The Times of India</c:v>
                </c:pt>
                <c:pt idx="13">
                  <c:v>USTR.gov</c:v>
                </c:pt>
                <c:pt idx="14">
                  <c:v>Whitehouse.gov</c:v>
                </c:pt>
              </c:strCache>
            </c:strRef>
          </c:cat>
          <c:val>
            <c:numRef>
              <c:f>'Country Imposed Most Tariffs'!$B$4:$B$19</c:f>
              <c:numCache>
                <c:formatCode>General</c:formatCode>
                <c:ptCount val="15"/>
                <c:pt idx="0">
                  <c:v>1</c:v>
                </c:pt>
                <c:pt idx="1">
                  <c:v>1</c:v>
                </c:pt>
                <c:pt idx="2">
                  <c:v>1</c:v>
                </c:pt>
                <c:pt idx="3">
                  <c:v>2</c:v>
                </c:pt>
                <c:pt idx="4">
                  <c:v>2</c:v>
                </c:pt>
                <c:pt idx="5">
                  <c:v>1</c:v>
                </c:pt>
                <c:pt idx="6">
                  <c:v>4</c:v>
                </c:pt>
                <c:pt idx="7">
                  <c:v>3</c:v>
                </c:pt>
                <c:pt idx="8">
                  <c:v>1</c:v>
                </c:pt>
                <c:pt idx="9">
                  <c:v>1</c:v>
                </c:pt>
                <c:pt idx="10">
                  <c:v>11</c:v>
                </c:pt>
                <c:pt idx="11">
                  <c:v>1</c:v>
                </c:pt>
                <c:pt idx="12">
                  <c:v>1</c:v>
                </c:pt>
                <c:pt idx="13">
                  <c:v>14</c:v>
                </c:pt>
                <c:pt idx="14">
                  <c:v>5</c:v>
                </c:pt>
              </c:numCache>
            </c:numRef>
          </c:val>
          <c:extLst>
            <c:ext xmlns:c16="http://schemas.microsoft.com/office/drawing/2014/chart" uri="{C3380CC4-5D6E-409C-BE32-E72D297353CC}">
              <c16:uniqueId val="{00000000-22C8-42CD-9064-793FDDE99B1D}"/>
            </c:ext>
          </c:extLst>
        </c:ser>
        <c:dLbls>
          <c:dLblPos val="outEnd"/>
          <c:showLegendKey val="0"/>
          <c:showVal val="1"/>
          <c:showCatName val="0"/>
          <c:showSerName val="0"/>
          <c:showPercent val="0"/>
          <c:showBubbleSize val="0"/>
        </c:dLbls>
        <c:gapWidth val="182"/>
        <c:axId val="458285424"/>
        <c:axId val="458294064"/>
      </c:barChart>
      <c:catAx>
        <c:axId val="45828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294064"/>
        <c:crosses val="autoZero"/>
        <c:auto val="1"/>
        <c:lblAlgn val="ctr"/>
        <c:lblOffset val="100"/>
        <c:noMultiLvlLbl val="0"/>
      </c:catAx>
      <c:valAx>
        <c:axId val="45829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28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[Mark-1.xlsx]Sector was Target Most!PivotTable2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Sector was</a:t>
            </a:r>
            <a:r>
              <a:rPr lang="en-US" b="1" baseline="0"/>
              <a:t> Target Most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'Sector was Target Most'!$B$1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'Sector was Target Most'!$A$2:$A$32</c:f>
              <c:strCache>
                <c:ptCount val="30"/>
                <c:pt idx="0">
                  <c:v>Agriculture</c:v>
                </c:pt>
                <c:pt idx="1">
                  <c:v>Agriculture, Autos, Seafood</c:v>
                </c:pt>
                <c:pt idx="2">
                  <c:v>Agriculture, Energy</c:v>
                </c:pt>
                <c:pt idx="3">
                  <c:v>Agriculture, LNG, Chemicals</c:v>
                </c:pt>
                <c:pt idx="4">
                  <c:v>Airbus, Cheese, Wine</c:v>
                </c:pt>
                <c:pt idx="5">
                  <c:v>All Goods</c:v>
                </c:pt>
                <c:pt idx="6">
                  <c:v>Aluminum</c:v>
                </c:pt>
                <c:pt idx="7">
                  <c:v>Coal, Oil, Medical, Autos</c:v>
                </c:pt>
                <c:pt idx="8">
                  <c:v>Consumer Electronics, Apparel, Footwear</c:v>
                </c:pt>
                <c:pt idx="9">
                  <c:v>Consumer Goods, Furniture, Electronics</c:v>
                </c:pt>
                <c:pt idx="10">
                  <c:v>Consumer Goods, Phase 1 Rollback</c:v>
                </c:pt>
                <c:pt idx="11">
                  <c:v>Consumer Goods, Steel</c:v>
                </c:pt>
                <c:pt idx="12">
                  <c:v>Dairy, Pork</c:v>
                </c:pt>
                <c:pt idx="13">
                  <c:v>EVs</c:v>
                </c:pt>
                <c:pt idx="14">
                  <c:v>Gallium, Germanium</c:v>
                </c:pt>
                <c:pt idx="15">
                  <c:v>General</c:v>
                </c:pt>
                <c:pt idx="16">
                  <c:v>Graphite</c:v>
                </c:pt>
                <c:pt idx="17">
                  <c:v>LNG, Agriculture, Aircraft</c:v>
                </c:pt>
                <c:pt idx="18">
                  <c:v>Pharma, Electronics</c:v>
                </c:pt>
                <c:pt idx="19">
                  <c:v>Semiconductors</c:v>
                </c:pt>
                <c:pt idx="20">
                  <c:v>Semiconductors, AI Chips</c:v>
                </c:pt>
                <c:pt idx="21">
                  <c:v>Semiconductors, Chemicals, Rail</c:v>
                </c:pt>
                <c:pt idx="22">
                  <c:v>Steel</c:v>
                </c:pt>
                <c:pt idx="23">
                  <c:v>Steel, Agriculture, Consumer</c:v>
                </c:pt>
                <c:pt idx="24">
                  <c:v>Steel, Aluminum</c:v>
                </c:pt>
                <c:pt idx="25">
                  <c:v>Steel, Aluminum, Consumer</c:v>
                </c:pt>
                <c:pt idx="26">
                  <c:v>Steel, Bourbon, Motorcycles</c:v>
                </c:pt>
                <c:pt idx="27">
                  <c:v>Steel, Consumer, Agriculture</c:v>
                </c:pt>
                <c:pt idx="28">
                  <c:v>Steel, Pork, Cheese, Apples</c:v>
                </c:pt>
                <c:pt idx="29">
                  <c:v>Tech, Industrial, Aerospace</c:v>
                </c:pt>
              </c:strCache>
            </c:strRef>
          </c:cat>
          <c:val>
            <c:numRef>
              <c:f>'Sector was Target Most'!$B$2:$B$32</c:f>
              <c:numCache>
                <c:formatCode>General</c:formatCode>
                <c:ptCount val="30"/>
                <c:pt idx="0">
                  <c:v>1</c:v>
                </c:pt>
                <c:pt idx="1">
                  <c:v>1</c:v>
                </c:pt>
                <c:pt idx="2">
                  <c:v>1</c:v>
                </c:pt>
                <c:pt idx="3">
                  <c:v>1</c:v>
                </c:pt>
                <c:pt idx="4">
                  <c:v>1</c:v>
                </c:pt>
                <c:pt idx="5">
                  <c:v>10</c:v>
                </c:pt>
                <c:pt idx="6">
                  <c:v>1</c:v>
                </c:pt>
                <c:pt idx="7">
                  <c:v>1</c:v>
                </c:pt>
                <c:pt idx="8">
                  <c:v>1</c:v>
                </c:pt>
                <c:pt idx="9">
                  <c:v>2</c:v>
                </c:pt>
                <c:pt idx="10">
                  <c:v>1</c:v>
                </c:pt>
                <c:pt idx="11">
                  <c:v>1</c:v>
                </c:pt>
                <c:pt idx="12">
                  <c:v>1</c:v>
                </c:pt>
                <c:pt idx="13">
                  <c:v>2</c:v>
                </c:pt>
                <c:pt idx="14">
                  <c:v>1</c:v>
                </c:pt>
                <c:pt idx="15">
                  <c:v>7</c:v>
                </c:pt>
                <c:pt idx="16">
                  <c:v>1</c:v>
                </c:pt>
                <c:pt idx="17">
                  <c:v>1</c:v>
                </c:pt>
                <c:pt idx="18">
                  <c:v>1</c:v>
                </c:pt>
                <c:pt idx="19">
                  <c:v>1</c:v>
                </c:pt>
                <c:pt idx="20">
                  <c:v>1</c:v>
                </c:pt>
                <c:pt idx="21">
                  <c:v>1</c:v>
                </c:pt>
                <c:pt idx="22">
                  <c:v>2</c:v>
                </c:pt>
                <c:pt idx="23">
                  <c:v>1</c:v>
                </c:pt>
                <c:pt idx="24">
                  <c:v>2</c:v>
                </c:pt>
                <c:pt idx="25">
                  <c:v>1</c:v>
                </c:pt>
                <c:pt idx="26">
                  <c:v>1</c:v>
                </c:pt>
                <c:pt idx="27">
                  <c:v>1</c:v>
                </c:pt>
                <c:pt idx="28">
                  <c:v>1</c:v>
                </c:pt>
                <c:pt idx="29">
                  <c:v>1</c:v>
                </c:pt>
              </c:numCache>
            </c:numRef>
          </c:val>
          <c:extLst>
            <c:ext xmlns:c16="http://schemas.microsoft.com/office/drawing/2014/chart" uri="{C3380CC4-5D6E-409C-BE32-E72D297353CC}">
              <c16:uniqueId val="{00000000-158C-4655-9064-CA9F5FD46A98}"/>
            </c:ext>
          </c:extLst>
        </c:ser>
        <c:dLbls>
          <c:dLblPos val="outEnd"/>
          <c:showLegendKey val="0"/>
          <c:showVal val="1"/>
          <c:showCatName val="0"/>
          <c:showSerName val="0"/>
          <c:showPercent val="0"/>
          <c:showBubbleSize val="0"/>
        </c:dLbls>
        <c:gapWidth val="219"/>
        <c:overlap val="-27"/>
        <c:axId val="458307504"/>
        <c:axId val="458308944"/>
      </c:barChart>
      <c:catAx>
        <c:axId val="4583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58308944"/>
        <c:crosses val="autoZero"/>
        <c:auto val="1"/>
        <c:lblAlgn val="ctr"/>
        <c:lblOffset val="100"/>
        <c:noMultiLvlLbl val="0"/>
      </c:catAx>
      <c:valAx>
        <c:axId val="45830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0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[Mark-1.xlsx]Trend Tariff by Year!PivotTable3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 Tariff</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Tariff by Year'!$B$2</c:f>
              <c:strCache>
                <c:ptCount val="1"/>
                <c:pt idx="0">
                  <c:v>Total</c:v>
                </c:pt>
              </c:strCache>
            </c:strRef>
          </c:tx>
          <c:spPr>
            <a:ln w="28575" cap="rnd">
              <a:solidFill>
                <a:srgbClr val="92D050"/>
              </a:solidFill>
              <a:round/>
            </a:ln>
            <a:effectLst/>
          </c:spPr>
          <c:marker>
            <c:symbol val="circle"/>
            <c:size val="5"/>
            <c:spPr>
              <a:solidFill>
                <a:schemeClr val="accent6">
                  <a:lumMod val="60000"/>
                  <a:lumOff val="40000"/>
                </a:schemeClr>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Tariff by Year'!$A$3:$A$12</c:f>
              <c:strCache>
                <c:ptCount val="9"/>
                <c:pt idx="0">
                  <c:v>2018</c:v>
                </c:pt>
                <c:pt idx="1">
                  <c:v>2019</c:v>
                </c:pt>
                <c:pt idx="2">
                  <c:v>2020</c:v>
                </c:pt>
                <c:pt idx="3">
                  <c:v>2021</c:v>
                </c:pt>
                <c:pt idx="4">
                  <c:v>2022</c:v>
                </c:pt>
                <c:pt idx="5">
                  <c:v>2023</c:v>
                </c:pt>
                <c:pt idx="6">
                  <c:v>2024</c:v>
                </c:pt>
                <c:pt idx="7">
                  <c:v>2025</c:v>
                </c:pt>
                <c:pt idx="8">
                  <c:v>2026</c:v>
                </c:pt>
              </c:strCache>
            </c:strRef>
          </c:cat>
          <c:val>
            <c:numRef>
              <c:f>'Trend Tariff by Year'!$B$3:$B$12</c:f>
              <c:numCache>
                <c:formatCode>0\%</c:formatCode>
                <c:ptCount val="9"/>
                <c:pt idx="0">
                  <c:v>20.454545454545453</c:v>
                </c:pt>
                <c:pt idx="1">
                  <c:v>21.666666666666668</c:v>
                </c:pt>
                <c:pt idx="2">
                  <c:v>16.25</c:v>
                </c:pt>
                <c:pt idx="3">
                  <c:v>0</c:v>
                </c:pt>
                <c:pt idx="4">
                  <c:v>25</c:v>
                </c:pt>
                <c:pt idx="5">
                  <c:v>100</c:v>
                </c:pt>
                <c:pt idx="6">
                  <c:v>48</c:v>
                </c:pt>
                <c:pt idx="7">
                  <c:v>43.470588235294116</c:v>
                </c:pt>
                <c:pt idx="8">
                  <c:v>30</c:v>
                </c:pt>
              </c:numCache>
            </c:numRef>
          </c:val>
          <c:smooth val="0"/>
          <c:extLst>
            <c:ext xmlns:c16="http://schemas.microsoft.com/office/drawing/2014/chart" uri="{C3380CC4-5D6E-409C-BE32-E72D297353CC}">
              <c16:uniqueId val="{00000000-5739-4147-B142-3ACF24DDF34C}"/>
            </c:ext>
          </c:extLst>
        </c:ser>
        <c:dLbls>
          <c:dLblPos val="t"/>
          <c:showLegendKey val="0"/>
          <c:showVal val="1"/>
          <c:showCatName val="0"/>
          <c:showSerName val="0"/>
          <c:showPercent val="0"/>
          <c:showBubbleSize val="0"/>
        </c:dLbls>
        <c:marker val="1"/>
        <c:smooth val="0"/>
        <c:axId val="458322384"/>
        <c:axId val="458315664"/>
      </c:lineChart>
      <c:catAx>
        <c:axId val="458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315664"/>
        <c:crosses val="autoZero"/>
        <c:auto val="1"/>
        <c:lblAlgn val="ctr"/>
        <c:lblOffset val="100"/>
        <c:noMultiLvlLbl val="0"/>
      </c:catAx>
      <c:valAx>
        <c:axId val="45831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3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[Mark-1.xlsx]Country wise Tariff !PivotTable3</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kern="1200" spc="0" baseline="0">
                <a:solidFill>
                  <a:sysClr val="windowText" lastClr="000000">
                    <a:lumMod val="65000"/>
                    <a:lumOff val="35000"/>
                  </a:sysClr>
                </a:solidFill>
              </a:rPr>
              <a:t>Country wise Tariff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92D050"/>
          </a:solidFill>
          <a:ln>
            <a:solidFill>
              <a:srgbClr val="92D050"/>
            </a:solidFill>
          </a:ln>
          <a:effectLst/>
        </c:spPr>
        <c:marker>
          <c:symbol val="circle"/>
          <c:size val="5"/>
          <c:spPr>
            <a:solidFill>
              <a:schemeClr val="accent6">
                <a:lumMod val="60000"/>
                <a:lumOff val="40000"/>
              </a:schemeClr>
            </a:solidFill>
            <a:ln w="9525">
              <a:solidFill>
                <a:schemeClr val="tx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rgbClr val="92D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Tariff '!$B$2</c:f>
              <c:strCache>
                <c:ptCount val="1"/>
                <c:pt idx="0">
                  <c:v>Total</c:v>
                </c:pt>
              </c:strCache>
            </c:strRef>
          </c:tx>
          <c:spPr>
            <a:solidFill>
              <a:schemeClr val="accent6">
                <a:lumMod val="60000"/>
                <a:lumOff val="40000"/>
              </a:schemeClr>
            </a:solidFill>
            <a:ln>
              <a:solidFill>
                <a:srgbClr val="92D05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Tariff '!$A$3:$A$14</c:f>
              <c:strCache>
                <c:ptCount val="11"/>
                <c:pt idx="0">
                  <c:v>ALL</c:v>
                </c:pt>
                <c:pt idx="1">
                  <c:v>CAN</c:v>
                </c:pt>
                <c:pt idx="2">
                  <c:v>China</c:v>
                </c:pt>
                <c:pt idx="3">
                  <c:v>CHN</c:v>
                </c:pt>
                <c:pt idx="4">
                  <c:v>EU</c:v>
                </c:pt>
                <c:pt idx="5">
                  <c:v>EU27</c:v>
                </c:pt>
                <c:pt idx="6">
                  <c:v>Global</c:v>
                </c:pt>
                <c:pt idx="7">
                  <c:v>IND</c:v>
                </c:pt>
                <c:pt idx="8">
                  <c:v>MEX</c:v>
                </c:pt>
                <c:pt idx="9">
                  <c:v>UK</c:v>
                </c:pt>
                <c:pt idx="10">
                  <c:v>USA</c:v>
                </c:pt>
              </c:strCache>
            </c:strRef>
          </c:cat>
          <c:val>
            <c:numRef>
              <c:f>'Country wise Tariff '!$B$3:$B$14</c:f>
              <c:numCache>
                <c:formatCode>0\%</c:formatCode>
                <c:ptCount val="11"/>
                <c:pt idx="0">
                  <c:v>45</c:v>
                </c:pt>
                <c:pt idx="1">
                  <c:v>25</c:v>
                </c:pt>
                <c:pt idx="2">
                  <c:v>50</c:v>
                </c:pt>
                <c:pt idx="3">
                  <c:v>36.964285714285715</c:v>
                </c:pt>
                <c:pt idx="4">
                  <c:v>25</c:v>
                </c:pt>
                <c:pt idx="5">
                  <c:v>18.75</c:v>
                </c:pt>
                <c:pt idx="6">
                  <c:v>30</c:v>
                </c:pt>
                <c:pt idx="7">
                  <c:v>26</c:v>
                </c:pt>
                <c:pt idx="8">
                  <c:v>25</c:v>
                </c:pt>
                <c:pt idx="9">
                  <c:v>25</c:v>
                </c:pt>
                <c:pt idx="10">
                  <c:v>39.200000000000003</c:v>
                </c:pt>
              </c:numCache>
            </c:numRef>
          </c:val>
          <c:extLst>
            <c:ext xmlns:c16="http://schemas.microsoft.com/office/drawing/2014/chart" uri="{C3380CC4-5D6E-409C-BE32-E72D297353CC}">
              <c16:uniqueId val="{00000000-6E94-431D-9DDC-57C786209978}"/>
            </c:ext>
          </c:extLst>
        </c:ser>
        <c:dLbls>
          <c:showLegendKey val="0"/>
          <c:showVal val="1"/>
          <c:showCatName val="0"/>
          <c:showSerName val="0"/>
          <c:showPercent val="0"/>
          <c:showBubbleSize val="0"/>
        </c:dLbls>
        <c:gapWidth val="150"/>
        <c:axId val="458322384"/>
        <c:axId val="458315664"/>
      </c:barChart>
      <c:catAx>
        <c:axId val="458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8315664"/>
        <c:crosses val="autoZero"/>
        <c:auto val="1"/>
        <c:lblAlgn val="ctr"/>
        <c:lblOffset val="100"/>
        <c:noMultiLvlLbl val="0"/>
      </c:catAx>
      <c:valAx>
        <c:axId val="45831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83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95250</xdr:colOff>
      <xdr:row>1</xdr:row>
      <xdr:rowOff>176212</xdr:rowOff>
    </xdr:from>
    <xdr:to>
      <xdr:col>10</xdr:col>
      <xdr:colOff>400050</xdr:colOff>
      <xdr:row>16</xdr:row>
      <xdr:rowOff>61912</xdr:rowOff>
    </xdr:to>
    <xdr:graphicFrame macro="">
      <xdr:nvGraphicFramePr>
        <xdr:cNvPr id="2" name="Chart 1">
          <a:extLst>
            <a:ext uri="{FF2B5EF4-FFF2-40B4-BE49-F238E27FC236}">
              <a16:creationId xmlns:a16="http://schemas.microsoft.com/office/drawing/2014/main" id="{C6CEC2E4-2D91-DFDA-3FB7-D4D8300E3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0</xdr:row>
      <xdr:rowOff>138111</xdr:rowOff>
    </xdr:from>
    <xdr:to>
      <xdr:col>12</xdr:col>
      <xdr:colOff>238125</xdr:colOff>
      <xdr:row>19</xdr:row>
      <xdr:rowOff>47624</xdr:rowOff>
    </xdr:to>
    <xdr:graphicFrame macro="">
      <xdr:nvGraphicFramePr>
        <xdr:cNvPr id="2" name="Chart 1">
          <a:extLst>
            <a:ext uri="{FF2B5EF4-FFF2-40B4-BE49-F238E27FC236}">
              <a16:creationId xmlns:a16="http://schemas.microsoft.com/office/drawing/2014/main" id="{3CD49740-06DC-C606-58D9-88306C2F3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790575</xdr:colOff>
      <xdr:row>1</xdr:row>
      <xdr:rowOff>180975</xdr:rowOff>
    </xdr:from>
    <xdr:to>
      <xdr:col>10</xdr:col>
      <xdr:colOff>542925</xdr:colOff>
      <xdr:row>16</xdr:row>
      <xdr:rowOff>66675</xdr:rowOff>
    </xdr:to>
    <xdr:graphicFrame macro="">
      <xdr:nvGraphicFramePr>
        <xdr:cNvPr id="2" name="Chart 1">
          <a:extLst>
            <a:ext uri="{FF2B5EF4-FFF2-40B4-BE49-F238E27FC236}">
              <a16:creationId xmlns:a16="http://schemas.microsoft.com/office/drawing/2014/main" id="{DCAC356D-CAAF-752C-2102-24B70FCDF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790575</xdr:colOff>
      <xdr:row>1</xdr:row>
      <xdr:rowOff>180975</xdr:rowOff>
    </xdr:from>
    <xdr:to>
      <xdr:col>10</xdr:col>
      <xdr:colOff>542925</xdr:colOff>
      <xdr:row>16</xdr:row>
      <xdr:rowOff>66675</xdr:rowOff>
    </xdr:to>
    <xdr:graphicFrame macro="">
      <xdr:nvGraphicFramePr>
        <xdr:cNvPr id="2" name="Chart 1">
          <a:extLst>
            <a:ext uri="{FF2B5EF4-FFF2-40B4-BE49-F238E27FC236}">
              <a16:creationId xmlns:a16="http://schemas.microsoft.com/office/drawing/2014/main" id="{510A964A-A45A-4B6D-84BE-98FC5C502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9524</xdr:colOff>
      <xdr:row>11</xdr:row>
      <xdr:rowOff>47625</xdr:rowOff>
    </xdr:from>
    <xdr:to>
      <xdr:col>3</xdr:col>
      <xdr:colOff>863624</xdr:colOff>
      <xdr:row>15</xdr:row>
      <xdr:rowOff>19050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EE4CB55-A433-C53E-7F42-42A0B9D7382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4" y="2714625"/>
              <a:ext cx="6912000" cy="733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9525</xdr:rowOff>
    </xdr:from>
    <xdr:to>
      <xdr:col>13</xdr:col>
      <xdr:colOff>613833</xdr:colOff>
      <xdr:row>1</xdr:row>
      <xdr:rowOff>0</xdr:rowOff>
    </xdr:to>
    <xdr:sp macro="" textlink="">
      <xdr:nvSpPr>
        <xdr:cNvPr id="2" name="Rectangle 1">
          <a:extLst>
            <a:ext uri="{FF2B5EF4-FFF2-40B4-BE49-F238E27FC236}">
              <a16:creationId xmlns:a16="http://schemas.microsoft.com/office/drawing/2014/main" id="{B4D0789B-D266-477D-E13F-74E811AC4592}"/>
            </a:ext>
          </a:extLst>
        </xdr:cNvPr>
        <xdr:cNvSpPr/>
      </xdr:nvSpPr>
      <xdr:spPr>
        <a:xfrm>
          <a:off x="0" y="9525"/>
          <a:ext cx="12689416" cy="360892"/>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n>
                <a:solidFill>
                  <a:schemeClr val="tx1">
                    <a:lumMod val="50000"/>
                    <a:lumOff val="50000"/>
                  </a:schemeClr>
                </a:solidFill>
              </a:ln>
              <a:latin typeface="Impact" panose="020B0806030902050204" pitchFamily="34" charset="0"/>
            </a:rPr>
            <a:t>Trade War Impact Analysis Dashboard</a:t>
          </a:r>
          <a:endParaRPr lang="en-IN" sz="1100">
            <a:ln>
              <a:solidFill>
                <a:schemeClr val="tx1">
                  <a:lumMod val="50000"/>
                  <a:lumOff val="50000"/>
                </a:schemeClr>
              </a:solidFill>
            </a:ln>
            <a:latin typeface="Impact" panose="020B0806030902050204" pitchFamily="34" charset="0"/>
          </a:endParaRPr>
        </a:p>
      </xdr:txBody>
    </xdr:sp>
    <xdr:clientData/>
  </xdr:twoCellAnchor>
  <xdr:twoCellAnchor>
    <xdr:from>
      <xdr:col>0</xdr:col>
      <xdr:colOff>0</xdr:colOff>
      <xdr:row>22</xdr:row>
      <xdr:rowOff>92792</xdr:rowOff>
    </xdr:from>
    <xdr:to>
      <xdr:col>2</xdr:col>
      <xdr:colOff>256047</xdr:colOff>
      <xdr:row>34</xdr:row>
      <xdr:rowOff>4095</xdr:rowOff>
    </xdr:to>
    <xdr:graphicFrame macro="">
      <xdr:nvGraphicFramePr>
        <xdr:cNvPr id="3" name="Chart 2">
          <a:extLst>
            <a:ext uri="{FF2B5EF4-FFF2-40B4-BE49-F238E27FC236}">
              <a16:creationId xmlns:a16="http://schemas.microsoft.com/office/drawing/2014/main" id="{B08C5BF6-5D94-436B-87E4-3823F6F0E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276190</xdr:colOff>
      <xdr:row>1</xdr:row>
      <xdr:rowOff>29662</xdr:rowOff>
    </xdr:from>
    <xdr:to>
      <xdr:col>13</xdr:col>
      <xdr:colOff>608513</xdr:colOff>
      <xdr:row>22</xdr:row>
      <xdr:rowOff>61162</xdr:rowOff>
    </xdr:to>
    <xdr:graphicFrame macro="">
      <xdr:nvGraphicFramePr>
        <xdr:cNvPr id="4" name="Chart 3">
          <a:extLst>
            <a:ext uri="{FF2B5EF4-FFF2-40B4-BE49-F238E27FC236}">
              <a16:creationId xmlns:a16="http://schemas.microsoft.com/office/drawing/2014/main" id="{8C79B741-6FC1-453B-A204-AC421BF8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278531</xdr:colOff>
      <xdr:row>22</xdr:row>
      <xdr:rowOff>89393</xdr:rowOff>
    </xdr:from>
    <xdr:to>
      <xdr:col>13</xdr:col>
      <xdr:colOff>611165</xdr:colOff>
      <xdr:row>33</xdr:row>
      <xdr:rowOff>189893</xdr:rowOff>
    </xdr:to>
    <xdr:graphicFrame macro="">
      <xdr:nvGraphicFramePr>
        <xdr:cNvPr id="5" name="Chart 4">
          <a:extLst>
            <a:ext uri="{FF2B5EF4-FFF2-40B4-BE49-F238E27FC236}">
              <a16:creationId xmlns:a16="http://schemas.microsoft.com/office/drawing/2014/main" id="{D08E00A9-F279-446B-ACA7-C4D9F93B3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17992</xdr:rowOff>
    </xdr:from>
    <xdr:to>
      <xdr:col>0</xdr:col>
      <xdr:colOff>1832400</xdr:colOff>
      <xdr:row>4</xdr:row>
      <xdr:rowOff>166492</xdr:rowOff>
    </xdr:to>
    <xdr:sp macro="" textlink="'KPI details'!G4">
      <xdr:nvSpPr>
        <xdr:cNvPr id="7" name="Rectangle: Rounded Corners 6">
          <a:extLst>
            <a:ext uri="{FF2B5EF4-FFF2-40B4-BE49-F238E27FC236}">
              <a16:creationId xmlns:a16="http://schemas.microsoft.com/office/drawing/2014/main" id="{DB0B6CEA-A9C7-D7A1-D97D-DAAC5EEFED81}"/>
            </a:ext>
          </a:extLst>
        </xdr:cNvPr>
        <xdr:cNvSpPr/>
      </xdr:nvSpPr>
      <xdr:spPr>
        <a:xfrm>
          <a:off x="0" y="388409"/>
          <a:ext cx="1832400" cy="720000"/>
        </a:xfrm>
        <a:prstGeom prst="roundRect">
          <a:avLst/>
        </a:prstGeom>
        <a:solidFill>
          <a:srgbClr val="CDF6CA"/>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tIns="0" rtlCol="0" anchor="t"/>
        <a:lstStyle/>
        <a:p>
          <a:pPr algn="ctr"/>
          <a:fld id="{67FAF6C5-2172-4DD4-BECF-3D53110522CC}" type="TxLink">
            <a:rPr lang="en-US" sz="2800" b="0" i="0" u="none" strike="noStrike">
              <a:solidFill>
                <a:schemeClr val="accent6">
                  <a:lumMod val="50000"/>
                </a:schemeClr>
              </a:solidFill>
              <a:latin typeface="Calibri"/>
              <a:ea typeface="Calibri"/>
              <a:cs typeface="Calibri"/>
            </a:rPr>
            <a:pPr algn="ctr"/>
            <a:t>145</a:t>
          </a:fld>
          <a:endParaRPr lang="en-IN" sz="2800">
            <a:solidFill>
              <a:schemeClr val="accent6">
                <a:lumMod val="50000"/>
              </a:schemeClr>
            </a:solidFill>
          </a:endParaRPr>
        </a:p>
      </xdr:txBody>
    </xdr:sp>
    <xdr:clientData/>
  </xdr:twoCellAnchor>
  <xdr:twoCellAnchor>
    <xdr:from>
      <xdr:col>0</xdr:col>
      <xdr:colOff>1873250</xdr:colOff>
      <xdr:row>1</xdr:row>
      <xdr:rowOff>21166</xdr:rowOff>
    </xdr:from>
    <xdr:to>
      <xdr:col>1</xdr:col>
      <xdr:colOff>816400</xdr:colOff>
      <xdr:row>4</xdr:row>
      <xdr:rowOff>169666</xdr:rowOff>
    </xdr:to>
    <xdr:sp macro="" textlink="'KPI details'!G5">
      <xdr:nvSpPr>
        <xdr:cNvPr id="8" name="Rectangle: Rounded Corners 7">
          <a:extLst>
            <a:ext uri="{FF2B5EF4-FFF2-40B4-BE49-F238E27FC236}">
              <a16:creationId xmlns:a16="http://schemas.microsoft.com/office/drawing/2014/main" id="{FD413C10-1B75-4604-A8BE-B9D217FA26F4}"/>
            </a:ext>
          </a:extLst>
        </xdr:cNvPr>
        <xdr:cNvSpPr/>
      </xdr:nvSpPr>
      <xdr:spPr>
        <a:xfrm>
          <a:off x="1873250" y="391583"/>
          <a:ext cx="1832400" cy="720000"/>
        </a:xfrm>
        <a:prstGeom prst="roundRect">
          <a:avLst/>
        </a:prstGeom>
        <a:solidFill>
          <a:srgbClr val="CDF6CA"/>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tIns="0" rtlCol="0" anchor="t"/>
        <a:lstStyle/>
        <a:p>
          <a:pPr algn="ctr"/>
          <a:fld id="{5B9C163E-4E35-4888-B82C-9DDB6B1E5A8E}" type="TxLink">
            <a:rPr lang="en-US" sz="2800" b="0" i="0" u="none" strike="noStrike">
              <a:solidFill>
                <a:schemeClr val="accent6">
                  <a:lumMod val="50000"/>
                </a:schemeClr>
              </a:solidFill>
              <a:latin typeface="Calibri"/>
              <a:ea typeface="Calibri"/>
              <a:cs typeface="Calibri"/>
            </a:rPr>
            <a:t>254%</a:t>
          </a:fld>
          <a:endParaRPr lang="en-IN" sz="2800">
            <a:solidFill>
              <a:schemeClr val="accent6">
                <a:lumMod val="50000"/>
              </a:schemeClr>
            </a:solidFill>
          </a:endParaRPr>
        </a:p>
      </xdr:txBody>
    </xdr:sp>
    <xdr:clientData/>
  </xdr:twoCellAnchor>
  <xdr:twoCellAnchor>
    <xdr:from>
      <xdr:col>1</xdr:col>
      <xdr:colOff>845609</xdr:colOff>
      <xdr:row>1</xdr:row>
      <xdr:rowOff>25400</xdr:rowOff>
    </xdr:from>
    <xdr:to>
      <xdr:col>2</xdr:col>
      <xdr:colOff>243417</xdr:colOff>
      <xdr:row>4</xdr:row>
      <xdr:rowOff>173900</xdr:rowOff>
    </xdr:to>
    <xdr:sp macro="" textlink="'KPI details'!G6">
      <xdr:nvSpPr>
        <xdr:cNvPr id="9" name="Rectangle: Rounded Corners 8">
          <a:extLst>
            <a:ext uri="{FF2B5EF4-FFF2-40B4-BE49-F238E27FC236}">
              <a16:creationId xmlns:a16="http://schemas.microsoft.com/office/drawing/2014/main" id="{5CEA0CFD-AC3E-4F24-BDD9-F80AB2D26263}"/>
            </a:ext>
          </a:extLst>
        </xdr:cNvPr>
        <xdr:cNvSpPr/>
      </xdr:nvSpPr>
      <xdr:spPr>
        <a:xfrm>
          <a:off x="3734859" y="395817"/>
          <a:ext cx="1831975" cy="720000"/>
        </a:xfrm>
        <a:prstGeom prst="roundRect">
          <a:avLst/>
        </a:prstGeom>
        <a:solidFill>
          <a:srgbClr val="CDF6CA"/>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tIns="0" rtlCol="0" anchor="t" anchorCtr="0"/>
        <a:lstStyle/>
        <a:p>
          <a:pPr algn="ctr"/>
          <a:fld id="{132229C9-4209-4E15-BA94-2AF997CDDECD}" type="TxLink">
            <a:rPr lang="en-US" sz="2800" b="0" i="0" u="none" strike="noStrike">
              <a:solidFill>
                <a:schemeClr val="accent6">
                  <a:lumMod val="50000"/>
                </a:schemeClr>
              </a:solidFill>
              <a:latin typeface="Calibri"/>
              <a:ea typeface="Calibri"/>
              <a:cs typeface="Calibri"/>
            </a:rPr>
            <a:pPr algn="ctr"/>
            <a:t>30</a:t>
          </a:fld>
          <a:endParaRPr lang="en-IN" sz="2800">
            <a:solidFill>
              <a:schemeClr val="accent6">
                <a:lumMod val="50000"/>
              </a:schemeClr>
            </a:solidFill>
          </a:endParaRPr>
        </a:p>
      </xdr:txBody>
    </xdr:sp>
    <xdr:clientData/>
  </xdr:twoCellAnchor>
  <xdr:twoCellAnchor>
    <xdr:from>
      <xdr:col>1</xdr:col>
      <xdr:colOff>1016000</xdr:colOff>
      <xdr:row>3</xdr:row>
      <xdr:rowOff>84666</xdr:rowOff>
    </xdr:from>
    <xdr:to>
      <xdr:col>2</xdr:col>
      <xdr:colOff>52916</xdr:colOff>
      <xdr:row>4</xdr:row>
      <xdr:rowOff>146166</xdr:rowOff>
    </xdr:to>
    <xdr:sp macro="" textlink="">
      <xdr:nvSpPr>
        <xdr:cNvPr id="10" name="TextBox 9">
          <a:extLst>
            <a:ext uri="{FF2B5EF4-FFF2-40B4-BE49-F238E27FC236}">
              <a16:creationId xmlns:a16="http://schemas.microsoft.com/office/drawing/2014/main" id="{A80F85A6-6B10-F3E8-F209-ABF04FC2447F}"/>
            </a:ext>
          </a:extLst>
        </xdr:cNvPr>
        <xdr:cNvSpPr txBox="1"/>
      </xdr:nvSpPr>
      <xdr:spPr>
        <a:xfrm>
          <a:off x="3905250" y="836083"/>
          <a:ext cx="1471083" cy="25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ctr"/>
        <a:lstStyle/>
        <a:p>
          <a:pPr algn="ctr"/>
          <a:r>
            <a:rPr lang="en-IN" sz="1200" b="1" i="0" u="none" strike="noStrike">
              <a:solidFill>
                <a:srgbClr val="92D050"/>
              </a:solidFill>
              <a:effectLst/>
              <a:latin typeface="+mn-lt"/>
              <a:ea typeface="+mn-ea"/>
              <a:cs typeface="+mn-cs"/>
            </a:rPr>
            <a:t>Most Active Country</a:t>
          </a:r>
          <a:r>
            <a:rPr lang="en-IN" sz="1200" b="1">
              <a:solidFill>
                <a:srgbClr val="92D050"/>
              </a:solidFill>
              <a:effectLst/>
            </a:rPr>
            <a:t> </a:t>
          </a:r>
          <a:endParaRPr lang="en-IN" sz="1200" b="1">
            <a:solidFill>
              <a:srgbClr val="92D050"/>
            </a:solidFill>
          </a:endParaRPr>
        </a:p>
      </xdr:txBody>
    </xdr:sp>
    <xdr:clientData/>
  </xdr:twoCellAnchor>
  <xdr:twoCellAnchor>
    <xdr:from>
      <xdr:col>0</xdr:col>
      <xdr:colOff>190501</xdr:colOff>
      <xdr:row>3</xdr:row>
      <xdr:rowOff>84668</xdr:rowOff>
    </xdr:from>
    <xdr:to>
      <xdr:col>0</xdr:col>
      <xdr:colOff>1662901</xdr:colOff>
      <xdr:row>4</xdr:row>
      <xdr:rowOff>146168</xdr:rowOff>
    </xdr:to>
    <xdr:sp macro="" textlink="">
      <xdr:nvSpPr>
        <xdr:cNvPr id="11" name="TextBox 10">
          <a:extLst>
            <a:ext uri="{FF2B5EF4-FFF2-40B4-BE49-F238E27FC236}">
              <a16:creationId xmlns:a16="http://schemas.microsoft.com/office/drawing/2014/main" id="{1AA746A4-6A8C-E029-5A88-E258C1036FDB}"/>
            </a:ext>
          </a:extLst>
        </xdr:cNvPr>
        <xdr:cNvSpPr txBox="1"/>
      </xdr:nvSpPr>
      <xdr:spPr>
        <a:xfrm>
          <a:off x="190501" y="836085"/>
          <a:ext cx="1472400" cy="25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rgbClr val="92D050"/>
              </a:solidFill>
              <a:effectLst/>
              <a:latin typeface="+mn-lt"/>
              <a:ea typeface="+mn-ea"/>
              <a:cs typeface="+mn-cs"/>
            </a:rPr>
            <a:t>Highest Tariff</a:t>
          </a:r>
          <a:r>
            <a:rPr lang="en-IN" sz="1200" b="1">
              <a:solidFill>
                <a:srgbClr val="92D050"/>
              </a:solidFill>
              <a:effectLst/>
            </a:rPr>
            <a:t> </a:t>
          </a:r>
          <a:endParaRPr lang="en-IN" sz="1200" b="1">
            <a:solidFill>
              <a:srgbClr val="92D050"/>
            </a:solidFill>
          </a:endParaRPr>
        </a:p>
      </xdr:txBody>
    </xdr:sp>
    <xdr:clientData/>
  </xdr:twoCellAnchor>
  <xdr:twoCellAnchor>
    <xdr:from>
      <xdr:col>0</xdr:col>
      <xdr:colOff>2067984</xdr:colOff>
      <xdr:row>3</xdr:row>
      <xdr:rowOff>88901</xdr:rowOff>
    </xdr:from>
    <xdr:to>
      <xdr:col>1</xdr:col>
      <xdr:colOff>651134</xdr:colOff>
      <xdr:row>4</xdr:row>
      <xdr:rowOff>150401</xdr:rowOff>
    </xdr:to>
    <xdr:sp macro="" textlink="">
      <xdr:nvSpPr>
        <xdr:cNvPr id="12" name="TextBox 11">
          <a:extLst>
            <a:ext uri="{FF2B5EF4-FFF2-40B4-BE49-F238E27FC236}">
              <a16:creationId xmlns:a16="http://schemas.microsoft.com/office/drawing/2014/main" id="{0F7CD297-AE04-47D7-8844-5783291DA9BF}"/>
            </a:ext>
          </a:extLst>
        </xdr:cNvPr>
        <xdr:cNvSpPr txBox="1"/>
      </xdr:nvSpPr>
      <xdr:spPr>
        <a:xfrm>
          <a:off x="2067984" y="840318"/>
          <a:ext cx="1472400" cy="25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rgbClr val="92D050"/>
              </a:solidFill>
              <a:effectLst/>
              <a:latin typeface="+mn-lt"/>
              <a:ea typeface="+mn-ea"/>
              <a:cs typeface="+mn-cs"/>
            </a:rPr>
            <a:t>Average Tariff</a:t>
          </a:r>
          <a:r>
            <a:rPr lang="en-IN" sz="1200" b="1">
              <a:solidFill>
                <a:srgbClr val="92D050"/>
              </a:solidFill>
              <a:effectLst/>
            </a:rPr>
            <a:t> </a:t>
          </a:r>
          <a:endParaRPr lang="en-IN" sz="1200" b="1">
            <a:solidFill>
              <a:srgbClr val="92D050"/>
            </a:solidFill>
          </a:endParaRPr>
        </a:p>
      </xdr:txBody>
    </xdr:sp>
    <xdr:clientData/>
  </xdr:twoCellAnchor>
  <xdr:twoCellAnchor editAs="oneCell">
    <xdr:from>
      <xdr:col>0</xdr:col>
      <xdr:colOff>0</xdr:colOff>
      <xdr:row>5</xdr:row>
      <xdr:rowOff>19583</xdr:rowOff>
    </xdr:from>
    <xdr:to>
      <xdr:col>2</xdr:col>
      <xdr:colOff>260633</xdr:colOff>
      <xdr:row>7</xdr:row>
      <xdr:rowOff>106583</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0B7E901F-C5CB-4E1D-B7EE-C681950694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148976"/>
              <a:ext cx="5581026"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127004</xdr:rowOff>
    </xdr:from>
    <xdr:to>
      <xdr:col>2</xdr:col>
      <xdr:colOff>252983</xdr:colOff>
      <xdr:row>22</xdr:row>
      <xdr:rowOff>66704</xdr:rowOff>
    </xdr:to>
    <xdr:graphicFrame macro="">
      <xdr:nvGraphicFramePr>
        <xdr:cNvPr id="15" name="Chart 14">
          <a:extLst>
            <a:ext uri="{FF2B5EF4-FFF2-40B4-BE49-F238E27FC236}">
              <a16:creationId xmlns:a16="http://schemas.microsoft.com/office/drawing/2014/main" id="{411C1A58-32EF-4893-AE50-31F50D927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h R" refreshedDate="46153.890041782404" createdVersion="8" refreshedVersion="8" minRefreshableVersion="3" recordCount="49" xr:uid="{F0ABBAFD-A8AB-47D1-9C9D-DD71A05C4681}">
  <cacheSource type="worksheet">
    <worksheetSource name="Table1"/>
  </cacheSource>
  <cacheFields count="17">
    <cacheField name="date" numFmtId="14">
      <sharedItems containsSemiMixedTypes="0" containsNonDate="0" containsDate="1" containsString="0" minDate="2018-03-08T00:00:00" maxDate="2026-05-06T00:00:00"/>
    </cacheField>
    <cacheField name="imposing_country" numFmtId="0">
      <sharedItems count="6">
        <s v="USA"/>
        <s v="EU27"/>
        <s v="CAN"/>
        <s v="MEX"/>
        <s v="CHN"/>
        <s v="IND"/>
      </sharedItems>
    </cacheField>
    <cacheField name="target_country" numFmtId="0">
      <sharedItems count="11">
        <s v="ALL"/>
        <s v="USA"/>
        <s v="CHN"/>
        <s v="EU27"/>
        <s v="CAN"/>
        <s v="MEX"/>
        <s v="IND"/>
        <s v="Global"/>
        <s v="China"/>
        <s v="UK"/>
        <s v="EU"/>
      </sharedItems>
    </cacheField>
    <cacheField name="Country_Full Name " numFmtId="0">
      <sharedItems count="6">
        <s v="United States"/>
        <s v="European Union (27 European countries group)"/>
        <s v="Canada"/>
        <s v="Mexico"/>
        <s v="China"/>
        <s v="India"/>
      </sharedItems>
    </cacheField>
    <cacheField name="sector" numFmtId="0">
      <sharedItems count="30">
        <s v="Steel"/>
        <s v="Aluminum"/>
        <s v="Steel, Consumer, Agriculture"/>
        <s v="Steel, Aluminum, Consumer"/>
        <s v="Steel, Pork, Cheese, Apples"/>
        <s v="Tech, Industrial, Aerospace"/>
        <s v="Agriculture, Autos, Seafood"/>
        <s v="Semiconductors, Chemicals, Rail"/>
        <s v="Coal, Oil, Medical, Autos"/>
        <s v="LNG, Agriculture, Aircraft"/>
        <s v="Consumer Goods, Furniture, Electronics"/>
        <s v="Agriculture, LNG, Chemicals"/>
        <s v="Consumer Electronics, Apparel, Footwear"/>
        <s v="Consumer Goods, Phase 1 Rollback"/>
        <s v="Airbus, Cheese, Wine"/>
        <s v="Steel, Aluminum"/>
        <s v="Semiconductors, AI Chips"/>
        <s v="Gallium, Germanium"/>
        <s v="Graphite"/>
        <s v="Semiconductors"/>
        <s v="EVs"/>
        <s v="Dairy, Pork"/>
        <s v="All Goods"/>
        <s v="Agriculture, Energy"/>
        <s v="Consumer Goods, Steel"/>
        <s v="Steel, Bourbon, Motorcycles"/>
        <s v="Steel, Agriculture, Consumer"/>
        <s v="Pharma, Electronics"/>
        <s v="Agriculture"/>
        <s v="General"/>
      </sharedItems>
    </cacheField>
    <cacheField name="tariff_rate_pct" numFmtId="0">
      <sharedItems containsSemiMixedTypes="0" containsString="0" containsNumber="1" minValue="0" maxValue="145" count="15">
        <n v="25"/>
        <n v="10"/>
        <n v="20"/>
        <n v="15"/>
        <n v="7.5"/>
        <n v="0"/>
        <n v="100"/>
        <n v="50"/>
        <n v="35"/>
        <n v="30"/>
        <n v="34"/>
        <n v="84"/>
        <n v="145"/>
        <n v="125"/>
        <n v="26"/>
      </sharedItems>
    </cacheField>
    <cacheField name="prev_rate_pct" numFmtId="0">
      <sharedItems containsSemiMixedTypes="0" containsString="0" containsNumber="1" minValue="0" maxValue="84"/>
    </cacheField>
    <cacheField name="type" numFmtId="0">
      <sharedItems count="9">
        <s v="New Tariff"/>
        <s v="Retaliation"/>
        <s v="Escalation"/>
        <s v="Reduction"/>
        <s v="Export Control"/>
        <s v="Export Restriction"/>
        <s v="Expansion"/>
        <s v="Universal Baseline"/>
        <s v="NewsAPI"/>
      </sharedItems>
    </cacheField>
    <cacheField name="legal_basis" numFmtId="0">
      <sharedItems containsBlank="1" count="17">
        <s v="Section 232"/>
        <s v="EU Safeguard Regulation"/>
        <s v="Customs Tariff Act"/>
        <s v="Mexican Customs Law"/>
        <s v="Section 301"/>
        <s v="MOFCOM Order"/>
        <s v="Phase 1 Agreement"/>
        <s v="WTO Authorization"/>
        <s v="Bilateral Agreement"/>
        <s v="EAR / Export Controls"/>
        <s v="PRC Export Controls Law"/>
        <s v="Section 301 Review"/>
        <s v="EU Anti-Subsidy Regulation"/>
        <s v="IEEPA"/>
        <s v="IEEPA + Section 301"/>
        <s v="Customs Tariff Act 1975"/>
        <m/>
      </sharedItems>
    </cacheField>
    <cacheField name="estimated_trade_value_usd_bn" numFmtId="0">
      <sharedItems containsString="0" containsBlank="1" containsNumber="1" minValue="1.5" maxValue="3300"/>
    </cacheField>
    <cacheField name="retaliation" numFmtId="0">
      <sharedItems count="2">
        <b v="0"/>
        <b v="1"/>
      </sharedItems>
    </cacheField>
    <cacheField name="source" numFmtId="0">
      <sharedItems count="15">
        <s v="Federal Register"/>
        <s v="European Commission"/>
        <s v="Canada.ca"/>
        <s v="Economy Ministry Mexico"/>
        <s v="USTR.gov"/>
        <s v="MOFCOM"/>
        <s v="Whitehouse.gov"/>
        <s v="BIS / Commerce Dept"/>
        <s v="MoCI India"/>
        <s v="The Times of India"/>
        <s v="Naturalnews.com"/>
        <s v="CNBC"/>
        <s v="Breitbart News"/>
        <s v="Moby.co"/>
        <s v="Al Jazeera English"/>
      </sharedItems>
    </cacheField>
    <cacheField name="notes" numFmtId="0">
      <sharedItems/>
    </cacheField>
    <cacheField name="tariff_rate_delta" numFmtId="0">
      <sharedItems containsSemiMixedTypes="0" containsString="0" containsNumber="1" minValue="-25" maxValue="100" count="19">
        <n v="25"/>
        <n v="10"/>
        <n v="20"/>
        <n v="15"/>
        <n v="-7.5"/>
        <n v="-25"/>
        <n v="100"/>
        <n v="75"/>
        <n v="17.5"/>
        <n v="30"/>
        <n v="2.5"/>
        <n v="0"/>
        <n v="19"/>
        <n v="50"/>
        <n v="91"/>
        <n v="16.5"/>
        <n v="41"/>
        <n v="26"/>
        <n v="60"/>
      </sharedItems>
    </cacheField>
    <cacheField name="year" numFmtId="0">
      <sharedItems containsSemiMixedTypes="0" containsString="0" containsNumber="1" containsInteger="1" minValue="2018" maxValue="2026" count="9">
        <n v="2018"/>
        <n v="2019"/>
        <n v="2020"/>
        <n v="2021"/>
        <n v="2022"/>
        <n v="2023"/>
        <n v="2024"/>
        <n v="2025"/>
        <n v="2026"/>
      </sharedItems>
    </cacheField>
    <cacheField name="quarter" numFmtId="0">
      <sharedItems count="16">
        <s v="2018Q1"/>
        <s v="2018Q2"/>
        <s v="2018Q3"/>
        <s v="2019Q2"/>
        <s v="2019Q3"/>
        <s v="2020Q1"/>
        <s v="2021Q2"/>
        <s v="2022Q4"/>
        <s v="2023Q3"/>
        <s v="2023Q4"/>
        <s v="2024Q2"/>
        <s v="2024Q4"/>
        <s v="2025Q1"/>
        <s v="2025Q2"/>
        <s v="2025Q3"/>
        <s v="2026Q2"/>
      </sharedItems>
    </cacheField>
    <cacheField name="month" numFmtId="0">
      <sharedItems count="24">
        <s v="2018-03"/>
        <s v="2018-06"/>
        <s v="2018-07"/>
        <s v="2018-08"/>
        <s v="2018-09"/>
        <s v="2019-05"/>
        <s v="2019-06"/>
        <s v="2019-09"/>
        <s v="2020-01"/>
        <s v="2020-02"/>
        <s v="2021-04"/>
        <s v="2022-10"/>
        <s v="2023-07"/>
        <s v="2023-12"/>
        <s v="2024-05"/>
        <s v="2024-10"/>
        <s v="2024-12"/>
        <s v="2025-01"/>
        <s v="2025-02"/>
        <s v="2025-03"/>
        <s v="2025-04"/>
        <s v="2025-07"/>
        <s v="2026-04"/>
        <s v="2026-05"/>
      </sharedItems>
    </cacheField>
  </cacheFields>
  <extLst>
    <ext xmlns:x14="http://schemas.microsoft.com/office/spreadsheetml/2009/9/main" uri="{725AE2AE-9491-48be-B2B4-4EB974FC3084}">
      <x14:pivotCacheDefinition pivotCacheId="667569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d v="2018-03-08T00:00:00"/>
    <x v="0"/>
    <x v="0"/>
    <x v="0"/>
    <x v="0"/>
    <x v="0"/>
    <n v="0"/>
    <x v="0"/>
    <x v="0"/>
    <n v="29"/>
    <x v="0"/>
    <x v="0"/>
    <s v="Trump signs 25% global steel tariffs under national security grounds"/>
    <x v="0"/>
    <x v="0"/>
    <x v="0"/>
    <x v="0"/>
  </r>
  <r>
    <d v="2018-03-08T00:00:00"/>
    <x v="0"/>
    <x v="0"/>
    <x v="0"/>
    <x v="1"/>
    <x v="1"/>
    <n v="0"/>
    <x v="0"/>
    <x v="0"/>
    <n v="17"/>
    <x v="0"/>
    <x v="0"/>
    <s v="Trump signs 10% global aluminum tariffs under national security grounds"/>
    <x v="1"/>
    <x v="0"/>
    <x v="0"/>
    <x v="0"/>
  </r>
  <r>
    <d v="2018-06-01T00:00:00"/>
    <x v="1"/>
    <x v="1"/>
    <x v="1"/>
    <x v="2"/>
    <x v="0"/>
    <n v="0"/>
    <x v="1"/>
    <x v="1"/>
    <n v="3.4"/>
    <x v="1"/>
    <x v="1"/>
    <s v="EU retaliates on Harley-Davidson, bourbon, steel with 25% duties"/>
    <x v="0"/>
    <x v="0"/>
    <x v="1"/>
    <x v="1"/>
  </r>
  <r>
    <d v="2018-06-01T00:00:00"/>
    <x v="2"/>
    <x v="1"/>
    <x v="2"/>
    <x v="3"/>
    <x v="0"/>
    <n v="0"/>
    <x v="1"/>
    <x v="2"/>
    <n v="16.600000000000001"/>
    <x v="1"/>
    <x v="2"/>
    <s v="Canada dollar-for-dollar retaliation on C$16.6B of US goods"/>
    <x v="0"/>
    <x v="0"/>
    <x v="1"/>
    <x v="1"/>
  </r>
  <r>
    <d v="2018-06-05T00:00:00"/>
    <x v="3"/>
    <x v="1"/>
    <x v="3"/>
    <x v="4"/>
    <x v="2"/>
    <n v="0"/>
    <x v="1"/>
    <x v="3"/>
    <n v="3"/>
    <x v="1"/>
    <x v="3"/>
    <s v="Mexico targets US farm products and steel in tit-for-tat retaliation"/>
    <x v="2"/>
    <x v="0"/>
    <x v="1"/>
    <x v="1"/>
  </r>
  <r>
    <d v="2018-07-06T00:00:00"/>
    <x v="0"/>
    <x v="2"/>
    <x v="0"/>
    <x v="5"/>
    <x v="0"/>
    <n v="0"/>
    <x v="0"/>
    <x v="4"/>
    <n v="34"/>
    <x v="0"/>
    <x v="4"/>
    <s v="List 1: $34B in Chinese tech goods hit with 25% tariffs"/>
    <x v="0"/>
    <x v="0"/>
    <x v="2"/>
    <x v="2"/>
  </r>
  <r>
    <d v="2018-07-06T00:00:00"/>
    <x v="4"/>
    <x v="1"/>
    <x v="4"/>
    <x v="6"/>
    <x v="0"/>
    <n v="0"/>
    <x v="1"/>
    <x v="5"/>
    <n v="34"/>
    <x v="1"/>
    <x v="5"/>
    <s v="China retaliates on $34B US goods â€” soybeans, autos, pork"/>
    <x v="0"/>
    <x v="0"/>
    <x v="2"/>
    <x v="2"/>
  </r>
  <r>
    <d v="2018-08-23T00:00:00"/>
    <x v="0"/>
    <x v="2"/>
    <x v="0"/>
    <x v="7"/>
    <x v="0"/>
    <n v="0"/>
    <x v="0"/>
    <x v="4"/>
    <n v="16"/>
    <x v="0"/>
    <x v="4"/>
    <s v="List 2: additional $16B in Chinese goods"/>
    <x v="0"/>
    <x v="0"/>
    <x v="2"/>
    <x v="3"/>
  </r>
  <r>
    <d v="2018-08-23T00:00:00"/>
    <x v="4"/>
    <x v="1"/>
    <x v="4"/>
    <x v="8"/>
    <x v="0"/>
    <n v="0"/>
    <x v="1"/>
    <x v="5"/>
    <n v="16"/>
    <x v="1"/>
    <x v="5"/>
    <s v="China's List 2 retaliation â€” oil, coal, medical equipment"/>
    <x v="0"/>
    <x v="0"/>
    <x v="2"/>
    <x v="3"/>
  </r>
  <r>
    <d v="2018-09-24T00:00:00"/>
    <x v="4"/>
    <x v="1"/>
    <x v="4"/>
    <x v="9"/>
    <x v="1"/>
    <n v="0"/>
    <x v="1"/>
    <x v="5"/>
    <n v="60"/>
    <x v="1"/>
    <x v="5"/>
    <s v="China's $60B List 3 retaliation at 5â€“10%"/>
    <x v="1"/>
    <x v="0"/>
    <x v="2"/>
    <x v="4"/>
  </r>
  <r>
    <d v="2018-09-24T00:00:00"/>
    <x v="0"/>
    <x v="2"/>
    <x v="0"/>
    <x v="10"/>
    <x v="1"/>
    <n v="0"/>
    <x v="0"/>
    <x v="4"/>
    <n v="200"/>
    <x v="0"/>
    <x v="4"/>
    <s v="List 3: $200B of Chinese goods at 10% (rising to 25% in May 2019)"/>
    <x v="1"/>
    <x v="0"/>
    <x v="2"/>
    <x v="4"/>
  </r>
  <r>
    <d v="2019-05-10T00:00:00"/>
    <x v="0"/>
    <x v="2"/>
    <x v="0"/>
    <x v="10"/>
    <x v="0"/>
    <n v="10"/>
    <x v="2"/>
    <x v="4"/>
    <n v="200"/>
    <x v="0"/>
    <x v="4"/>
    <s v="List 3 tariffs raised from 10% to 25% after trade talks break down"/>
    <x v="3"/>
    <x v="1"/>
    <x v="3"/>
    <x v="5"/>
  </r>
  <r>
    <d v="2019-06-01T00:00:00"/>
    <x v="4"/>
    <x v="1"/>
    <x v="4"/>
    <x v="11"/>
    <x v="0"/>
    <n v="10"/>
    <x v="2"/>
    <x v="5"/>
    <n v="60"/>
    <x v="1"/>
    <x v="5"/>
    <s v="China raises List 3 retaliation rates to match US escalation"/>
    <x v="3"/>
    <x v="1"/>
    <x v="3"/>
    <x v="6"/>
  </r>
  <r>
    <d v="2019-09-01T00:00:00"/>
    <x v="0"/>
    <x v="2"/>
    <x v="0"/>
    <x v="12"/>
    <x v="3"/>
    <n v="0"/>
    <x v="0"/>
    <x v="4"/>
    <n v="112"/>
    <x v="0"/>
    <x v="4"/>
    <s v="List 4A: 15% on $112B including consumer electronics, apparel, footwear"/>
    <x v="3"/>
    <x v="1"/>
    <x v="4"/>
    <x v="7"/>
  </r>
  <r>
    <d v="2020-01-15T00:00:00"/>
    <x v="0"/>
    <x v="2"/>
    <x v="0"/>
    <x v="13"/>
    <x v="4"/>
    <n v="15"/>
    <x v="3"/>
    <x v="6"/>
    <n v="120"/>
    <x v="0"/>
    <x v="4"/>
    <s v="Phase 1 deal: List 4A cut to 7.5%; List 4B suspended; China pledges $200B in US purchases"/>
    <x v="4"/>
    <x v="2"/>
    <x v="5"/>
    <x v="8"/>
  </r>
  <r>
    <d v="2020-02-14T00:00:00"/>
    <x v="0"/>
    <x v="3"/>
    <x v="0"/>
    <x v="14"/>
    <x v="0"/>
    <n v="0"/>
    <x v="0"/>
    <x v="7"/>
    <n v="7.5"/>
    <x v="0"/>
    <x v="4"/>
    <s v="US expands Airbus-linked tariffs on EU goods (WTO-authorized countermeasures)"/>
    <x v="0"/>
    <x v="2"/>
    <x v="5"/>
    <x v="9"/>
  </r>
  <r>
    <d v="2021-04-01T00:00:00"/>
    <x v="0"/>
    <x v="3"/>
    <x v="0"/>
    <x v="15"/>
    <x v="5"/>
    <n v="25"/>
    <x v="3"/>
    <x v="8"/>
    <n v="10"/>
    <x v="0"/>
    <x v="6"/>
    <s v="US-EU tariff truce: Steel/aluminum tariffs suspended for 2 years (TRQ arrangement)"/>
    <x v="5"/>
    <x v="3"/>
    <x v="6"/>
    <x v="10"/>
  </r>
  <r>
    <d v="2022-10-07T00:00:00"/>
    <x v="0"/>
    <x v="2"/>
    <x v="0"/>
    <x v="16"/>
    <x v="0"/>
    <n v="0"/>
    <x v="4"/>
    <x v="9"/>
    <n v="50"/>
    <x v="0"/>
    <x v="7"/>
    <s v="BIS expands chip export controls â€” bans advanced semiconductors &amp; chip-making tools to China"/>
    <x v="0"/>
    <x v="4"/>
    <x v="7"/>
    <x v="11"/>
  </r>
  <r>
    <d v="2023-07-03T00:00:00"/>
    <x v="4"/>
    <x v="0"/>
    <x v="4"/>
    <x v="17"/>
    <x v="6"/>
    <n v="0"/>
    <x v="5"/>
    <x v="10"/>
    <n v="1.5"/>
    <x v="1"/>
    <x v="5"/>
    <s v="China restricts exports of gallium and germanium â€” critical semiconductor materials"/>
    <x v="6"/>
    <x v="5"/>
    <x v="8"/>
    <x v="12"/>
  </r>
  <r>
    <d v="2023-12-01T00:00:00"/>
    <x v="4"/>
    <x v="0"/>
    <x v="4"/>
    <x v="18"/>
    <x v="6"/>
    <n v="0"/>
    <x v="5"/>
    <x v="10"/>
    <n v="3"/>
    <x v="1"/>
    <x v="5"/>
    <s v="China restricts graphite exports â€” critical for EV batteries"/>
    <x v="6"/>
    <x v="5"/>
    <x v="9"/>
    <x v="13"/>
  </r>
  <r>
    <d v="2024-05-14T00:00:00"/>
    <x v="0"/>
    <x v="2"/>
    <x v="0"/>
    <x v="19"/>
    <x v="7"/>
    <n v="25"/>
    <x v="2"/>
    <x v="11"/>
    <n v="8"/>
    <x v="0"/>
    <x v="4"/>
    <s v="Biden raises chip tariffs to 50%; ship-to-shore cranes to 25%"/>
    <x v="0"/>
    <x v="6"/>
    <x v="10"/>
    <x v="14"/>
  </r>
  <r>
    <d v="2024-05-14T00:00:00"/>
    <x v="0"/>
    <x v="2"/>
    <x v="0"/>
    <x v="20"/>
    <x v="6"/>
    <n v="25"/>
    <x v="2"/>
    <x v="11"/>
    <n v="2"/>
    <x v="0"/>
    <x v="4"/>
    <s v="Biden raises China EV tariff from 25% to 100%"/>
    <x v="7"/>
    <x v="6"/>
    <x v="10"/>
    <x v="14"/>
  </r>
  <r>
    <d v="2024-05-14T00:00:00"/>
    <x v="0"/>
    <x v="2"/>
    <x v="0"/>
    <x v="15"/>
    <x v="0"/>
    <n v="7.5"/>
    <x v="2"/>
    <x v="11"/>
    <n v="3.3"/>
    <x v="0"/>
    <x v="4"/>
    <s v="Biden triples Section 301 steel and aluminum tariffs on China"/>
    <x v="8"/>
    <x v="6"/>
    <x v="10"/>
    <x v="14"/>
  </r>
  <r>
    <d v="2024-10-30T00:00:00"/>
    <x v="1"/>
    <x v="2"/>
    <x v="1"/>
    <x v="20"/>
    <x v="8"/>
    <n v="10"/>
    <x v="0"/>
    <x v="12"/>
    <n v="9"/>
    <x v="0"/>
    <x v="1"/>
    <s v="EU adds provisional countervailing duties on Chinese EVs (BYD 17%, SAIC 35.3%)"/>
    <x v="0"/>
    <x v="6"/>
    <x v="11"/>
    <x v="15"/>
  </r>
  <r>
    <d v="2024-12-04T00:00:00"/>
    <x v="4"/>
    <x v="3"/>
    <x v="4"/>
    <x v="21"/>
    <x v="9"/>
    <n v="0"/>
    <x v="1"/>
    <x v="5"/>
    <n v="3"/>
    <x v="1"/>
    <x v="5"/>
    <s v="China retaliates on EU dairy and pork following EV tariff"/>
    <x v="9"/>
    <x v="6"/>
    <x v="11"/>
    <x v="16"/>
  </r>
  <r>
    <d v="2025-01-20T00:00:00"/>
    <x v="0"/>
    <x v="2"/>
    <x v="0"/>
    <x v="22"/>
    <x v="1"/>
    <n v="7.5"/>
    <x v="2"/>
    <x v="4"/>
    <n v="450"/>
    <x v="0"/>
    <x v="6"/>
    <s v="Day-1 executive order â€” 10% blanket tariff on all Chinese imports"/>
    <x v="10"/>
    <x v="7"/>
    <x v="12"/>
    <x v="17"/>
  </r>
  <r>
    <d v="2025-02-01T00:00:00"/>
    <x v="0"/>
    <x v="4"/>
    <x v="0"/>
    <x v="22"/>
    <x v="0"/>
    <n v="0"/>
    <x v="0"/>
    <x v="13"/>
    <n v="350"/>
    <x v="0"/>
    <x v="6"/>
    <s v="25% tariffs on all Canadian imports citing fentanyl/border security"/>
    <x v="0"/>
    <x v="7"/>
    <x v="12"/>
    <x v="18"/>
  </r>
  <r>
    <d v="2025-02-01T00:00:00"/>
    <x v="0"/>
    <x v="5"/>
    <x v="0"/>
    <x v="22"/>
    <x v="0"/>
    <n v="0"/>
    <x v="0"/>
    <x v="13"/>
    <n v="475"/>
    <x v="0"/>
    <x v="6"/>
    <s v="25% tariffs on all Mexican imports; partially paused after talks"/>
    <x v="0"/>
    <x v="7"/>
    <x v="12"/>
    <x v="18"/>
  </r>
  <r>
    <d v="2025-02-04T00:00:00"/>
    <x v="4"/>
    <x v="1"/>
    <x v="4"/>
    <x v="23"/>
    <x v="3"/>
    <n v="0"/>
    <x v="1"/>
    <x v="5"/>
    <n v="80"/>
    <x v="1"/>
    <x v="5"/>
    <s v="China retaliates: 15% on LNG/coal, 10% on crude oil &amp; farm equipment"/>
    <x v="3"/>
    <x v="7"/>
    <x v="12"/>
    <x v="18"/>
  </r>
  <r>
    <d v="2025-02-10T00:00:00"/>
    <x v="2"/>
    <x v="1"/>
    <x v="2"/>
    <x v="24"/>
    <x v="0"/>
    <n v="0"/>
    <x v="1"/>
    <x v="2"/>
    <n v="30"/>
    <x v="1"/>
    <x v="2"/>
    <s v="Canada dollar-for-dollar retaliation on C$42B of US goods"/>
    <x v="0"/>
    <x v="7"/>
    <x v="12"/>
    <x v="18"/>
  </r>
  <r>
    <d v="2025-03-04T00:00:00"/>
    <x v="0"/>
    <x v="2"/>
    <x v="0"/>
    <x v="22"/>
    <x v="2"/>
    <n v="10"/>
    <x v="2"/>
    <x v="13"/>
    <n v="450"/>
    <x v="0"/>
    <x v="6"/>
    <s v="Trump doubles down â€” cumulative China tariff rises to 20%"/>
    <x v="1"/>
    <x v="7"/>
    <x v="12"/>
    <x v="19"/>
  </r>
  <r>
    <d v="2025-03-12T00:00:00"/>
    <x v="1"/>
    <x v="1"/>
    <x v="1"/>
    <x v="25"/>
    <x v="0"/>
    <n v="0"/>
    <x v="1"/>
    <x v="1"/>
    <n v="18"/>
    <x v="1"/>
    <x v="1"/>
    <s v="EU reimpose 2018-era retaliatory duties in response to global steel tariffs"/>
    <x v="0"/>
    <x v="7"/>
    <x v="12"/>
    <x v="19"/>
  </r>
  <r>
    <d v="2025-03-12T00:00:00"/>
    <x v="0"/>
    <x v="0"/>
    <x v="0"/>
    <x v="0"/>
    <x v="0"/>
    <n v="25"/>
    <x v="6"/>
    <x v="0"/>
    <n v="40"/>
    <x v="0"/>
    <x v="0"/>
    <s v="Section 232 steel tariffs reinstated globally â€” Canada and Mexico exemptions removed"/>
    <x v="11"/>
    <x v="7"/>
    <x v="12"/>
    <x v="19"/>
  </r>
  <r>
    <d v="2025-04-02T00:00:00"/>
    <x v="0"/>
    <x v="0"/>
    <x v="0"/>
    <x v="22"/>
    <x v="1"/>
    <n v="0"/>
    <x v="7"/>
    <x v="13"/>
    <n v="3300"/>
    <x v="0"/>
    <x v="4"/>
    <s v="Liberation Day â€” 10% universal baseline tariff on ALL US imports"/>
    <x v="1"/>
    <x v="7"/>
    <x v="13"/>
    <x v="20"/>
  </r>
  <r>
    <d v="2025-04-04T00:00:00"/>
    <x v="4"/>
    <x v="1"/>
    <x v="4"/>
    <x v="22"/>
    <x v="10"/>
    <n v="15"/>
    <x v="1"/>
    <x v="5"/>
    <n v="180"/>
    <x v="1"/>
    <x v="5"/>
    <s v="China responds to Liberation Day with blanket 34% tariff on all US goods"/>
    <x v="12"/>
    <x v="7"/>
    <x v="13"/>
    <x v="20"/>
  </r>
  <r>
    <d v="2025-04-09T00:00:00"/>
    <x v="4"/>
    <x v="1"/>
    <x v="4"/>
    <x v="22"/>
    <x v="11"/>
    <n v="34"/>
    <x v="1"/>
    <x v="5"/>
    <n v="180"/>
    <x v="1"/>
    <x v="5"/>
    <s v="China escalates to 84% retaliatory tariff matching US aggression"/>
    <x v="13"/>
    <x v="7"/>
    <x v="13"/>
    <x v="20"/>
  </r>
  <r>
    <d v="2025-04-09T00:00:00"/>
    <x v="0"/>
    <x v="2"/>
    <x v="0"/>
    <x v="22"/>
    <x v="12"/>
    <n v="54"/>
    <x v="2"/>
    <x v="14"/>
    <n v="525"/>
    <x v="0"/>
    <x v="4"/>
    <s v="US raises China tariffs to 145% after China's 84% counter-tariff"/>
    <x v="14"/>
    <x v="7"/>
    <x v="13"/>
    <x v="20"/>
  </r>
  <r>
    <d v="2025-04-09T00:00:00"/>
    <x v="0"/>
    <x v="3"/>
    <x v="0"/>
    <x v="22"/>
    <x v="2"/>
    <n v="3.5"/>
    <x v="2"/>
    <x v="13"/>
    <n v="600"/>
    <x v="0"/>
    <x v="4"/>
    <s v="20% tariff on all EU goods; 90-day pause announced same day for non-China"/>
    <x v="15"/>
    <x v="7"/>
    <x v="13"/>
    <x v="20"/>
  </r>
  <r>
    <d v="2025-04-15T00:00:00"/>
    <x v="1"/>
    <x v="1"/>
    <x v="1"/>
    <x v="26"/>
    <x v="0"/>
    <n v="0"/>
    <x v="1"/>
    <x v="1"/>
    <n v="21"/>
    <x v="1"/>
    <x v="1"/>
    <s v="EU first-wave countermeasures on â‚¬26B of US goods"/>
    <x v="0"/>
    <x v="7"/>
    <x v="13"/>
    <x v="20"/>
  </r>
  <r>
    <d v="2025-04-25T00:00:00"/>
    <x v="4"/>
    <x v="1"/>
    <x v="4"/>
    <x v="22"/>
    <x v="13"/>
    <n v="84"/>
    <x v="1"/>
    <x v="5"/>
    <n v="180"/>
    <x v="1"/>
    <x v="5"/>
    <s v="China raises to 125% â€” announces no further escalations regardless of US actions"/>
    <x v="16"/>
    <x v="7"/>
    <x v="13"/>
    <x v="20"/>
  </r>
  <r>
    <d v="2025-07-01T00:00:00"/>
    <x v="0"/>
    <x v="6"/>
    <x v="0"/>
    <x v="27"/>
    <x v="14"/>
    <n v="0"/>
    <x v="0"/>
    <x v="13"/>
    <n v="85"/>
    <x v="0"/>
    <x v="4"/>
    <s v="Post-90-day pause: India-specific tariffs reinstated at 26%"/>
    <x v="17"/>
    <x v="7"/>
    <x v="14"/>
    <x v="21"/>
  </r>
  <r>
    <d v="2025-07-15T00:00:00"/>
    <x v="5"/>
    <x v="1"/>
    <x v="5"/>
    <x v="28"/>
    <x v="6"/>
    <n v="40"/>
    <x v="1"/>
    <x v="15"/>
    <n v="8"/>
    <x v="1"/>
    <x v="8"/>
    <s v="India retaliates with 100% duties on US farm products"/>
    <x v="18"/>
    <x v="7"/>
    <x v="14"/>
    <x v="21"/>
  </r>
  <r>
    <d v="2026-04-10T00:00:00"/>
    <x v="0"/>
    <x v="7"/>
    <x v="0"/>
    <x v="29"/>
    <x v="1"/>
    <n v="0"/>
    <x v="8"/>
    <x v="16"/>
    <m/>
    <x v="0"/>
    <x v="9"/>
    <s v="US trade court weighs legality of Trump 10% global tariff"/>
    <x v="1"/>
    <x v="8"/>
    <x v="15"/>
    <x v="22"/>
  </r>
  <r>
    <d v="2026-04-11T00:00:00"/>
    <x v="0"/>
    <x v="7"/>
    <x v="0"/>
    <x v="29"/>
    <x v="7"/>
    <n v="0"/>
    <x v="8"/>
    <x v="16"/>
    <m/>
    <x v="0"/>
    <x v="10"/>
    <s v="Trump Threatens 50% Tariffs on Nations Supplying Weapons to Iran"/>
    <x v="13"/>
    <x v="8"/>
    <x v="15"/>
    <x v="22"/>
  </r>
  <r>
    <d v="2026-04-13T00:00:00"/>
    <x v="0"/>
    <x v="8"/>
    <x v="0"/>
    <x v="29"/>
    <x v="7"/>
    <n v="0"/>
    <x v="8"/>
    <x v="16"/>
    <m/>
    <x v="0"/>
    <x v="11"/>
    <s v="Trump threatens 50% tariffs on China as report suggests plans for arms shipment to Iran"/>
    <x v="13"/>
    <x v="8"/>
    <x v="15"/>
    <x v="22"/>
  </r>
  <r>
    <d v="2026-05-01T00:00:00"/>
    <x v="0"/>
    <x v="9"/>
    <x v="0"/>
    <x v="29"/>
    <x v="0"/>
    <n v="0"/>
    <x v="8"/>
    <x v="16"/>
    <m/>
    <x v="0"/>
    <x v="11"/>
    <s v="UK exports to U.S. plunge by 25% after Trump's 'liberation day' tariffs blitz"/>
    <x v="0"/>
    <x v="8"/>
    <x v="15"/>
    <x v="23"/>
  </r>
  <r>
    <d v="2026-05-01T00:00:00"/>
    <x v="0"/>
    <x v="10"/>
    <x v="0"/>
    <x v="29"/>
    <x v="0"/>
    <n v="0"/>
    <x v="8"/>
    <x v="16"/>
    <m/>
    <x v="0"/>
    <x v="12"/>
    <s v="Trump Says He Will Raise Tariffs on European Cars and Trucks to 25%"/>
    <x v="0"/>
    <x v="8"/>
    <x v="15"/>
    <x v="23"/>
  </r>
  <r>
    <d v="2026-05-04T00:00:00"/>
    <x v="0"/>
    <x v="10"/>
    <x v="0"/>
    <x v="29"/>
    <x v="0"/>
    <n v="0"/>
    <x v="8"/>
    <x v="16"/>
    <m/>
    <x v="0"/>
    <x v="13"/>
    <s v="Trump Threatened European Cars With a 25% Tariff. Again."/>
    <x v="0"/>
    <x v="8"/>
    <x v="15"/>
    <x v="23"/>
  </r>
  <r>
    <d v="2026-05-05T00:00:00"/>
    <x v="0"/>
    <x v="10"/>
    <x v="0"/>
    <x v="29"/>
    <x v="0"/>
    <n v="0"/>
    <x v="8"/>
    <x v="16"/>
    <m/>
    <x v="0"/>
    <x v="14"/>
    <s v="US plans to hike tariffs on EU cars to 25% will hit luxury market the most"/>
    <x v="0"/>
    <x v="8"/>
    <x v="15"/>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77483-C574-44E1-8A72-D865E708261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7">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16">
        <item x="14"/>
        <item x="7"/>
        <item x="12"/>
        <item x="2"/>
        <item x="11"/>
        <item x="3"/>
        <item x="1"/>
        <item x="0"/>
        <item x="13"/>
        <item x="8"/>
        <item x="5"/>
        <item x="10"/>
        <item x="9"/>
        <item x="4"/>
        <item x="6"/>
        <item t="default"/>
      </items>
    </pivotField>
    <pivotField showAll="0"/>
    <pivotField showAll="0"/>
    <pivotField showAll="0">
      <items count="10">
        <item x="0"/>
        <item x="1"/>
        <item x="2"/>
        <item x="3"/>
        <item x="4"/>
        <item x="5"/>
        <item x="6"/>
        <item x="7"/>
        <item x="8"/>
        <item t="default"/>
      </items>
    </pivotField>
    <pivotField showAll="0"/>
    <pivotField showAll="0"/>
  </pivotFields>
  <rowFields count="1">
    <field x="11"/>
  </rowFields>
  <rowItems count="16">
    <i>
      <x/>
    </i>
    <i>
      <x v="1"/>
    </i>
    <i>
      <x v="2"/>
    </i>
    <i>
      <x v="3"/>
    </i>
    <i>
      <x v="4"/>
    </i>
    <i>
      <x v="5"/>
    </i>
    <i>
      <x v="6"/>
    </i>
    <i>
      <x v="7"/>
    </i>
    <i>
      <x v="8"/>
    </i>
    <i>
      <x v="9"/>
    </i>
    <i>
      <x v="10"/>
    </i>
    <i>
      <x v="11"/>
    </i>
    <i>
      <x v="12"/>
    </i>
    <i>
      <x v="13"/>
    </i>
    <i>
      <x v="14"/>
    </i>
    <i t="grand">
      <x/>
    </i>
  </rowItems>
  <colItems count="1">
    <i/>
  </colItems>
  <dataFields count="1">
    <dataField name="Count of source" fld="1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CD5A4-8D51-4620-BFD6-C793D39BCC3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2" firstHeaderRow="1" firstDataRow="1" firstDataCol="1"/>
  <pivotFields count="17">
    <pivotField numFmtId="14" showAll="0"/>
    <pivotField showAll="0"/>
    <pivotField showAll="0"/>
    <pivotField showAll="0"/>
    <pivotField axis="axisRow" dataField="1" showAll="0">
      <items count="31">
        <item x="28"/>
        <item x="6"/>
        <item x="23"/>
        <item x="11"/>
        <item x="14"/>
        <item x="22"/>
        <item x="1"/>
        <item x="8"/>
        <item x="12"/>
        <item x="10"/>
        <item x="13"/>
        <item x="24"/>
        <item x="21"/>
        <item x="20"/>
        <item x="17"/>
        <item x="29"/>
        <item x="18"/>
        <item x="9"/>
        <item x="27"/>
        <item x="19"/>
        <item x="16"/>
        <item x="7"/>
        <item x="0"/>
        <item x="26"/>
        <item x="15"/>
        <item x="3"/>
        <item x="25"/>
        <item x="2"/>
        <item x="4"/>
        <item x="5"/>
        <item t="default"/>
      </items>
    </pivotField>
    <pivotField showAll="0"/>
    <pivotField showAll="0"/>
    <pivotField showAll="0"/>
    <pivotField showAll="0"/>
    <pivotField showAll="0"/>
    <pivotField showAll="0"/>
    <pivotField showAll="0">
      <items count="16">
        <item x="14"/>
        <item x="7"/>
        <item x="12"/>
        <item x="2"/>
        <item x="11"/>
        <item x="3"/>
        <item x="1"/>
        <item x="0"/>
        <item x="13"/>
        <item x="8"/>
        <item x="5"/>
        <item x="10"/>
        <item x="9"/>
        <item x="4"/>
        <item x="6"/>
        <item t="default"/>
      </items>
    </pivotField>
    <pivotField showAll="0"/>
    <pivotField showAll="0"/>
    <pivotField showAll="0">
      <items count="10">
        <item x="0"/>
        <item x="1"/>
        <item x="2"/>
        <item x="3"/>
        <item x="4"/>
        <item x="5"/>
        <item x="6"/>
        <item x="7"/>
        <item x="8"/>
        <item t="default"/>
      </items>
    </pivotField>
    <pivotField showAll="0"/>
    <pivotField showAll="0"/>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sector"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D829A4-5D08-46CC-A5B2-318C0343541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2" firstHeaderRow="1" firstDataRow="1" firstDataCol="1"/>
  <pivotFields count="17">
    <pivotField numFmtId="14" showAll="0"/>
    <pivotField showAll="0"/>
    <pivotField showAll="0"/>
    <pivotField showAll="0"/>
    <pivotField showAll="0">
      <items count="31">
        <item x="28"/>
        <item x="6"/>
        <item x="23"/>
        <item x="11"/>
        <item x="14"/>
        <item x="22"/>
        <item x="1"/>
        <item x="8"/>
        <item x="12"/>
        <item x="10"/>
        <item x="13"/>
        <item x="24"/>
        <item x="21"/>
        <item x="20"/>
        <item x="17"/>
        <item x="29"/>
        <item x="18"/>
        <item x="9"/>
        <item x="27"/>
        <item x="19"/>
        <item x="16"/>
        <item x="7"/>
        <item x="0"/>
        <item x="26"/>
        <item x="15"/>
        <item x="3"/>
        <item x="25"/>
        <item x="2"/>
        <item x="4"/>
        <item x="5"/>
        <item t="default"/>
      </items>
    </pivotField>
    <pivotField dataField="1" showAll="0"/>
    <pivotField showAll="0"/>
    <pivotField showAll="0"/>
    <pivotField showAll="0"/>
    <pivotField showAll="0"/>
    <pivotField showAll="0"/>
    <pivotField showAll="0">
      <items count="16">
        <item x="14"/>
        <item x="7"/>
        <item x="12"/>
        <item x="2"/>
        <item x="11"/>
        <item x="3"/>
        <item x="1"/>
        <item x="0"/>
        <item x="13"/>
        <item x="8"/>
        <item x="5"/>
        <item x="10"/>
        <item x="9"/>
        <item x="4"/>
        <item x="6"/>
        <item t="default"/>
      </items>
    </pivotField>
    <pivotField showAll="0"/>
    <pivotField showAll="0"/>
    <pivotField axis="axisRow" showAll="0">
      <items count="10">
        <item x="0"/>
        <item x="1"/>
        <item x="2"/>
        <item x="3"/>
        <item x="4"/>
        <item x="5"/>
        <item x="6"/>
        <item x="7"/>
        <item x="8"/>
        <item t="default"/>
      </items>
    </pivotField>
    <pivotField showAll="0"/>
    <pivotField showAll="0"/>
  </pivotFields>
  <rowFields count="1">
    <field x="14"/>
  </rowFields>
  <rowItems count="10">
    <i>
      <x/>
    </i>
    <i>
      <x v="1"/>
    </i>
    <i>
      <x v="2"/>
    </i>
    <i>
      <x v="3"/>
    </i>
    <i>
      <x v="4"/>
    </i>
    <i>
      <x v="5"/>
    </i>
    <i>
      <x v="6"/>
    </i>
    <i>
      <x v="7"/>
    </i>
    <i>
      <x v="8"/>
    </i>
    <i t="grand">
      <x/>
    </i>
  </rowItems>
  <colItems count="1">
    <i/>
  </colItems>
  <dataFields count="1">
    <dataField name="Average of tariff_rate_pct" fld="5" subtotal="average" baseField="14" baseItem="0"/>
  </dataFields>
  <formats count="3">
    <format dxfId="105">
      <pivotArea collapsedLevelsAreSubtotals="1" fieldPosition="0">
        <references count="1">
          <reference field="14" count="0"/>
        </references>
      </pivotArea>
    </format>
    <format dxfId="104">
      <pivotArea outline="0" collapsedLevelsAreSubtotals="1" fieldPosition="0"/>
    </format>
    <format dxfId="10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0A3F29-0C14-405C-B57F-A284C2AE1E3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4" firstHeaderRow="1" firstDataRow="1" firstDataCol="1"/>
  <pivotFields count="17">
    <pivotField numFmtId="14" showAll="0"/>
    <pivotField showAll="0"/>
    <pivotField axis="axisRow" showAll="0">
      <items count="12">
        <item x="0"/>
        <item x="4"/>
        <item x="8"/>
        <item x="2"/>
        <item x="10"/>
        <item x="3"/>
        <item x="7"/>
        <item x="6"/>
        <item x="5"/>
        <item x="9"/>
        <item x="1"/>
        <item t="default"/>
      </items>
    </pivotField>
    <pivotField showAll="0">
      <items count="7">
        <item x="2"/>
        <item x="4"/>
        <item x="1"/>
        <item x="5"/>
        <item x="3"/>
        <item x="0"/>
        <item t="default"/>
      </items>
    </pivotField>
    <pivotField showAll="0">
      <items count="31">
        <item x="28"/>
        <item x="6"/>
        <item x="23"/>
        <item x="11"/>
        <item x="14"/>
        <item x="22"/>
        <item x="1"/>
        <item x="8"/>
        <item x="12"/>
        <item x="10"/>
        <item x="13"/>
        <item x="24"/>
        <item x="21"/>
        <item x="20"/>
        <item x="17"/>
        <item x="29"/>
        <item x="18"/>
        <item x="9"/>
        <item x="27"/>
        <item x="19"/>
        <item x="16"/>
        <item x="7"/>
        <item x="0"/>
        <item x="26"/>
        <item x="15"/>
        <item x="3"/>
        <item x="25"/>
        <item x="2"/>
        <item x="4"/>
        <item x="5"/>
        <item t="default"/>
      </items>
    </pivotField>
    <pivotField dataField="1" showAll="0"/>
    <pivotField showAll="0"/>
    <pivotField showAll="0"/>
    <pivotField showAll="0"/>
    <pivotField showAll="0"/>
    <pivotField showAll="0"/>
    <pivotField showAll="0">
      <items count="16">
        <item x="14"/>
        <item x="7"/>
        <item x="12"/>
        <item x="2"/>
        <item x="11"/>
        <item x="3"/>
        <item x="1"/>
        <item x="0"/>
        <item x="13"/>
        <item x="8"/>
        <item x="5"/>
        <item x="10"/>
        <item x="9"/>
        <item x="4"/>
        <item x="6"/>
        <item t="default"/>
      </items>
    </pivotField>
    <pivotField showAll="0"/>
    <pivotField showAll="0"/>
    <pivotField showAll="0">
      <items count="10">
        <item x="0"/>
        <item x="1"/>
        <item x="2"/>
        <item x="3"/>
        <item x="4"/>
        <item x="5"/>
        <item x="6"/>
        <item x="7"/>
        <item x="8"/>
        <item t="default"/>
      </items>
    </pivotField>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Average of tariff_rate_pct" fld="5" subtotal="average" baseField="14" baseItem="0"/>
  </dataFields>
  <formats count="2">
    <format dxfId="98">
      <pivotArea outline="0" collapsedLevelsAreSubtotals="1" fieldPosition="0"/>
    </format>
    <format dxfId="99">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DF757B-339D-422D-9F14-D7D9ED417F4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7">
    <pivotField numFmtId="14" showAll="0"/>
    <pivotField showAll="0">
      <items count="7">
        <item x="2"/>
        <item x="4"/>
        <item x="1"/>
        <item x="5"/>
        <item x="3"/>
        <item x="0"/>
        <item t="default"/>
      </items>
    </pivotField>
    <pivotField showAll="0">
      <items count="12">
        <item x="0"/>
        <item x="4"/>
        <item x="8"/>
        <item x="2"/>
        <item x="10"/>
        <item x="3"/>
        <item x="7"/>
        <item x="6"/>
        <item x="5"/>
        <item x="9"/>
        <item x="1"/>
        <item t="default"/>
      </items>
    </pivotField>
    <pivotField axis="axisRow" dataField="1" showAll="0">
      <items count="7">
        <item x="2"/>
        <item x="4"/>
        <item x="1"/>
        <item x="5"/>
        <item x="3"/>
        <item x="0"/>
        <item t="default"/>
      </items>
    </pivotField>
    <pivotField showAll="0"/>
    <pivotField dataField="1" showAll="0"/>
    <pivotField showAll="0"/>
    <pivotField showAll="0"/>
    <pivotField showAll="0"/>
    <pivotField showAll="0"/>
    <pivotField showAll="0"/>
    <pivotField showAll="0">
      <items count="16">
        <item x="14"/>
        <item x="7"/>
        <item x="12"/>
        <item x="2"/>
        <item x="11"/>
        <item x="3"/>
        <item x="1"/>
        <item x="0"/>
        <item x="13"/>
        <item x="8"/>
        <item x="5"/>
        <item x="10"/>
        <item x="9"/>
        <item x="4"/>
        <item x="6"/>
        <item t="default"/>
      </items>
    </pivotField>
    <pivotField showAll="0"/>
    <pivotField showAll="0"/>
    <pivotField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x="14"/>
        <item x="1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3"/>
  </rowFields>
  <rowItems count="7">
    <i>
      <x/>
    </i>
    <i>
      <x v="1"/>
    </i>
    <i>
      <x v="2"/>
    </i>
    <i>
      <x v="3"/>
    </i>
    <i>
      <x v="4"/>
    </i>
    <i>
      <x v="5"/>
    </i>
    <i t="grand">
      <x/>
    </i>
  </rowItems>
  <colFields count="1">
    <field x="-2"/>
  </colFields>
  <colItems count="3">
    <i>
      <x/>
    </i>
    <i i="1">
      <x v="1"/>
    </i>
    <i i="2">
      <x v="2"/>
    </i>
  </colItems>
  <dataFields count="3">
    <dataField name="Count of Country_Full Name " fld="3" subtotal="count" baseField="0" baseItem="0"/>
    <dataField name="Max of tariff_rate_pct" fld="5" subtotal="max" baseField="3" baseItem="0"/>
    <dataField name="Average of tariff_rate_pct" fld="5" subtotal="average" baseField="3" baseItem="0" numFmtId="164"/>
  </dataFields>
  <formats count="2">
    <format dxfId="101">
      <pivotArea field="3" grandRow="1" outline="0" collapsedLevelsAreSubtotals="1" axis="axisRow" fieldPosition="0">
        <references count="1">
          <reference field="4294967294" count="1" selected="0">
            <x v="1"/>
          </reference>
        </references>
      </pivotArea>
    </format>
    <format dxfId="10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BD7278-6A5F-43B1-9B0F-861D67216072}" sourceName="year">
  <pivotTables>
    <pivotTable tabId="18" name="PivotTable1"/>
    <pivotTable tabId="9" name="PivotTable1"/>
    <pivotTable tabId="10" name="PivotTable2"/>
    <pivotTable tabId="11" name="PivotTable3"/>
    <pivotTable tabId="20" name="PivotTable3"/>
  </pivotTables>
  <data>
    <tabular pivotCacheId="667569625">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674A5C-F007-4E84-ABFE-21D2ECA4D0C5}" cache="Slicer_year" caption="year" columnCount="9" showCaption="0"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6916CAB-C734-4E08-BC5E-F1143468F1CD}" cache="Slicer_year" caption="year" columnCount="9" showCaption="0" style="SlicerStyleLight6"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7A322-4BBC-4CA5-848D-9475A2D29C1D}" name="Table1" displayName="Table1" ref="A1:Q50" totalsRowShown="0" headerRowDxfId="112">
  <autoFilter ref="A1:Q50" xr:uid="{EF97A322-4BBC-4CA5-848D-9475A2D29C1D}"/>
  <tableColumns count="17">
    <tableColumn id="1" xr3:uid="{317B2DDC-32E1-4E8A-9694-DD4DF6E305E3}" name="date" dataDxfId="111"/>
    <tableColumn id="2" xr3:uid="{D6A1A2B5-08E5-44E2-A6F1-D772F296F225}" name="imposing_country"/>
    <tableColumn id="3" xr3:uid="{1F53FAC0-F252-4732-AD44-07990F3881D0}" name="target_country"/>
    <tableColumn id="17" xr3:uid="{647AA3B6-687A-4477-9FC8-9CACA4750F76}" name="Country_Full Name " dataDxfId="110">
      <calculatedColumnFormula>VLOOKUP(Table1[[#This Row],[imposing_country]],Sheet8!$A$1:$B$7,2,0)</calculatedColumnFormula>
    </tableColumn>
    <tableColumn id="4" xr3:uid="{8AA6A1F3-C936-4F2E-8DF5-138DFB460444}" name="sector"/>
    <tableColumn id="5" xr3:uid="{B6DC1CBC-F6DD-4203-8CDF-F2AA13820E80}" name="tariff_rate_pct"/>
    <tableColumn id="6" xr3:uid="{50FCAB72-C286-4FDF-92F6-D2A68D83C1F6}" name="prev_rate_pct" dataDxfId="109"/>
    <tableColumn id="7" xr3:uid="{BC869C3D-F84E-4D1F-911E-ADE945F09B7C}" name="type"/>
    <tableColumn id="8" xr3:uid="{CF8F7863-D2AF-4629-AA70-02EA6CF5161F}" name="legal_basis" dataDxfId="108"/>
    <tableColumn id="9" xr3:uid="{7A520BFF-8E4A-4532-95FA-FCDED972AB48}" name="estimated_trade_value_usd_bn"/>
    <tableColumn id="10" xr3:uid="{1CF79FB8-8A87-400D-820A-72016BE22D3C}" name="retaliation" dataDxfId="107"/>
    <tableColumn id="11" xr3:uid="{7B34D784-EBA5-48EE-B655-381FE7336A8B}" name="source" dataDxfId="106"/>
    <tableColumn id="12" xr3:uid="{5BF6E3B4-D0B8-4AE5-A1B1-50621EA969D0}" name="notes"/>
    <tableColumn id="13" xr3:uid="{EAFC1B9F-3D14-44A2-8BC8-AC3B98367207}" name="tariff_rate_delta"/>
    <tableColumn id="14" xr3:uid="{F2AAB8BC-1D4C-4BAF-84A5-A50CE1AC8680}" name="year"/>
    <tableColumn id="15" xr3:uid="{93DCF47C-E5E9-4E0F-93F8-79E0D7BC9E73}" name="quarter"/>
    <tableColumn id="16" xr3:uid="{4AD65655-6E5C-46FC-A951-C9989F229499}"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BB614B-8BFC-4DB4-974F-8C27622AE377}" name="Table2" displayName="Table2" ref="A3:Q14" totalsRowShown="0">
  <autoFilter ref="A3:Q14" xr:uid="{F2BB614B-8BFC-4DB4-974F-8C27622AE377}"/>
  <tableColumns count="17">
    <tableColumn id="1" xr3:uid="{16F8D3F0-5319-4B9A-AC7F-5E470751986F}" name="date" dataDxfId="102"/>
    <tableColumn id="2" xr3:uid="{B2A07593-4BFA-4A23-B627-0C0C334FE81B}" name="imposing_country"/>
    <tableColumn id="3" xr3:uid="{D92FE721-F724-462B-9F25-D392EE7C348F}" name="target_country"/>
    <tableColumn id="4" xr3:uid="{36A7B720-4D5C-42C1-AF64-692F91DA439F}" name="Country_Full Name "/>
    <tableColumn id="5" xr3:uid="{35388462-81D0-4B96-BD65-EC90AA92F776}" name="sector"/>
    <tableColumn id="6" xr3:uid="{A4179DC0-98F4-4BC3-9E61-5A0790B8D3A4}" name="tariff_rate_pct"/>
    <tableColumn id="7" xr3:uid="{99B75CDE-9AF7-487D-BEA1-FC68ED7676F8}" name="prev_rate_pct"/>
    <tableColumn id="8" xr3:uid="{699F9062-37ED-43A6-83AD-3B3B6E4A740D}" name="type"/>
    <tableColumn id="9" xr3:uid="{B026085D-8CF4-446A-B6A2-E2F6321E1788}" name="legal_basis"/>
    <tableColumn id="10" xr3:uid="{D4C7E2B6-51CD-4BCF-80AC-260B86C84BAB}" name="estimated_trade_value_usd_bn"/>
    <tableColumn id="11" xr3:uid="{84DBB264-42CA-4C2B-89B1-F17BDDED27B1}" name="retaliation"/>
    <tableColumn id="12" xr3:uid="{21349B0E-63BC-4636-ADD3-AB04F5916754}" name="source"/>
    <tableColumn id="13" xr3:uid="{223BAC40-42BF-47BB-BFC8-B6860192AFEA}" name="notes"/>
    <tableColumn id="14" xr3:uid="{2AA50E83-1F62-4DD2-B147-5909B60E5D82}" name="tariff_rate_delta"/>
    <tableColumn id="15" xr3:uid="{0A907AC3-89DF-4A36-94CD-CA47F9D06E4B}" name="year"/>
    <tableColumn id="16" xr3:uid="{9790CDA4-1B4B-47AA-9226-56FE16FD1546}" name="quarter"/>
    <tableColumn id="17" xr3:uid="{0CC6BBF5-34F4-443B-8DB5-F1D985FE0533}"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625B-F49C-4D0C-BA75-8BBFBF286EB3}">
  <dimension ref="A1:Q50"/>
  <sheetViews>
    <sheetView topLeftCell="A2" workbookViewId="0">
      <selection activeCell="C7" sqref="A2:Q50"/>
    </sheetView>
  </sheetViews>
  <sheetFormatPr defaultRowHeight="15" x14ac:dyDescent="0.25"/>
  <cols>
    <col min="1" max="1" width="10.42578125" bestFit="1" customWidth="1"/>
    <col min="2" max="2" width="23.42578125" customWidth="1"/>
    <col min="3" max="3" width="20.140625" customWidth="1"/>
    <col min="4" max="4" width="45.28515625" style="6" hidden="1" customWidth="1"/>
    <col min="5" max="5" width="38.42578125" bestFit="1" customWidth="1"/>
    <col min="6" max="6" width="19.7109375" customWidth="1"/>
    <col min="7" max="7" width="19.140625" style="6" hidden="1" customWidth="1"/>
    <col min="8" max="8" width="17.5703125" bestFit="1" customWidth="1"/>
    <col min="9" max="9" width="25.5703125" style="6" hidden="1" customWidth="1"/>
    <col min="10" max="10" width="39" customWidth="1"/>
    <col min="11" max="11" width="15.140625" style="6" hidden="1" customWidth="1"/>
    <col min="12" max="12" width="24" style="6" hidden="1" customWidth="1"/>
    <col min="13" max="13" width="89.140625" bestFit="1" customWidth="1"/>
    <col min="14" max="14" width="22" customWidth="1"/>
    <col min="15" max="15" width="8.140625" customWidth="1"/>
    <col min="16" max="16" width="11.7109375" customWidth="1"/>
    <col min="17" max="17" width="10.5703125" customWidth="1"/>
  </cols>
  <sheetData>
    <row r="1" spans="1:17" ht="18.75" x14ac:dyDescent="0.3">
      <c r="A1" s="2" t="s">
        <v>8</v>
      </c>
      <c r="B1" s="2" t="s">
        <v>21</v>
      </c>
      <c r="C1" s="2" t="s">
        <v>20</v>
      </c>
      <c r="D1" s="5" t="s">
        <v>193</v>
      </c>
      <c r="E1" s="2" t="s">
        <v>9</v>
      </c>
      <c r="F1" s="2" t="s">
        <v>19</v>
      </c>
      <c r="G1" s="5" t="s">
        <v>18</v>
      </c>
      <c r="H1" s="2" t="s">
        <v>6</v>
      </c>
      <c r="I1" s="5" t="s">
        <v>16</v>
      </c>
      <c r="J1" s="2" t="s">
        <v>15</v>
      </c>
      <c r="K1" s="5" t="s">
        <v>14</v>
      </c>
      <c r="L1" s="5" t="s">
        <v>13</v>
      </c>
      <c r="M1" s="2" t="s">
        <v>12</v>
      </c>
      <c r="N1" s="2" t="s">
        <v>17</v>
      </c>
      <c r="O1" s="2" t="s">
        <v>7</v>
      </c>
      <c r="P1" s="2" t="s">
        <v>11</v>
      </c>
      <c r="Q1" s="2" t="s">
        <v>10</v>
      </c>
    </row>
    <row r="2" spans="1:17" x14ac:dyDescent="0.25">
      <c r="A2" s="1">
        <v>43167</v>
      </c>
      <c r="B2" t="s">
        <v>5</v>
      </c>
      <c r="C2" t="s">
        <v>76</v>
      </c>
      <c r="D2" s="6" t="str">
        <f>VLOOKUP(Table1[[#This Row],[imposing_country]],Sheet8!$A$1:$B$7,2,0)</f>
        <v>United States</v>
      </c>
      <c r="E2" t="s">
        <v>83</v>
      </c>
      <c r="F2">
        <v>25</v>
      </c>
      <c r="G2" s="6">
        <v>0</v>
      </c>
      <c r="H2" t="s">
        <v>54</v>
      </c>
      <c r="I2" s="6" t="s">
        <v>81</v>
      </c>
      <c r="J2">
        <v>29</v>
      </c>
      <c r="K2" s="6" t="b">
        <v>0</v>
      </c>
      <c r="L2" s="6" t="s">
        <v>80</v>
      </c>
      <c r="M2" t="s">
        <v>188</v>
      </c>
      <c r="N2">
        <v>25</v>
      </c>
      <c r="O2">
        <v>2018</v>
      </c>
      <c r="P2" t="s">
        <v>185</v>
      </c>
      <c r="Q2" t="s">
        <v>184</v>
      </c>
    </row>
    <row r="3" spans="1:17" x14ac:dyDescent="0.25">
      <c r="A3" s="1">
        <v>43167</v>
      </c>
      <c r="B3" t="s">
        <v>5</v>
      </c>
      <c r="C3" t="s">
        <v>76</v>
      </c>
      <c r="D3" s="6" t="str">
        <f>VLOOKUP(Table1[[#This Row],[imposing_country]],Sheet8!$A$1:$B$7,2,0)</f>
        <v>United States</v>
      </c>
      <c r="E3" t="s">
        <v>187</v>
      </c>
      <c r="F3">
        <v>10</v>
      </c>
      <c r="G3" s="6">
        <v>0</v>
      </c>
      <c r="H3" t="s">
        <v>54</v>
      </c>
      <c r="I3" s="6" t="s">
        <v>81</v>
      </c>
      <c r="J3">
        <v>17</v>
      </c>
      <c r="K3" s="6" t="b">
        <v>0</v>
      </c>
      <c r="L3" s="6" t="s">
        <v>80</v>
      </c>
      <c r="M3" t="s">
        <v>186</v>
      </c>
      <c r="N3">
        <v>10</v>
      </c>
      <c r="O3">
        <v>2018</v>
      </c>
      <c r="P3" t="s">
        <v>185</v>
      </c>
      <c r="Q3" t="s">
        <v>184</v>
      </c>
    </row>
    <row r="4" spans="1:17" x14ac:dyDescent="0.25">
      <c r="A4" s="1">
        <v>43252</v>
      </c>
      <c r="B4" t="s">
        <v>67</v>
      </c>
      <c r="C4" t="s">
        <v>191</v>
      </c>
      <c r="D4" s="6" t="str">
        <f>VLOOKUP(Table1[[#This Row],[imposing_country]],Sheet8!$A$1:$B$7,2,0)</f>
        <v>European Union (27 European countries group)</v>
      </c>
      <c r="E4" t="s">
        <v>183</v>
      </c>
      <c r="F4">
        <v>25</v>
      </c>
      <c r="G4" s="6">
        <v>0</v>
      </c>
      <c r="H4" t="s">
        <v>49</v>
      </c>
      <c r="I4" s="6" t="s">
        <v>65</v>
      </c>
      <c r="J4">
        <v>3.4</v>
      </c>
      <c r="K4" s="6" t="b">
        <v>1</v>
      </c>
      <c r="L4" s="6" t="s">
        <v>64</v>
      </c>
      <c r="M4" t="s">
        <v>182</v>
      </c>
      <c r="N4">
        <v>25</v>
      </c>
      <c r="O4">
        <v>2018</v>
      </c>
      <c r="P4" t="s">
        <v>175</v>
      </c>
      <c r="Q4" t="s">
        <v>174</v>
      </c>
    </row>
    <row r="5" spans="1:17" x14ac:dyDescent="0.25">
      <c r="A5" s="1">
        <v>43252</v>
      </c>
      <c r="B5" t="s">
        <v>93</v>
      </c>
      <c r="C5" t="s">
        <v>191</v>
      </c>
      <c r="D5" s="6" t="str">
        <f>VLOOKUP(Table1[[#This Row],[imposing_country]],Sheet8!$A$1:$B$7,2,0)</f>
        <v>Canada</v>
      </c>
      <c r="E5" t="s">
        <v>181</v>
      </c>
      <c r="F5">
        <v>25</v>
      </c>
      <c r="G5" s="6">
        <v>0</v>
      </c>
      <c r="H5" t="s">
        <v>49</v>
      </c>
      <c r="I5" s="6" t="s">
        <v>91</v>
      </c>
      <c r="J5">
        <v>16.600000000000001</v>
      </c>
      <c r="K5" s="6" t="b">
        <v>1</v>
      </c>
      <c r="L5" s="6" t="s">
        <v>90</v>
      </c>
      <c r="M5" t="s">
        <v>180</v>
      </c>
      <c r="N5">
        <v>25</v>
      </c>
      <c r="O5">
        <v>2018</v>
      </c>
      <c r="P5" t="s">
        <v>175</v>
      </c>
      <c r="Q5" t="s">
        <v>174</v>
      </c>
    </row>
    <row r="6" spans="1:17" x14ac:dyDescent="0.25">
      <c r="A6" s="1">
        <v>43256</v>
      </c>
      <c r="B6" t="s">
        <v>97</v>
      </c>
      <c r="C6" t="s">
        <v>191</v>
      </c>
      <c r="D6" s="6" t="str">
        <f>VLOOKUP(Table1[[#This Row],[imposing_country]],Sheet8!$A$1:$B$7,2,0)</f>
        <v>Mexico</v>
      </c>
      <c r="E6" t="s">
        <v>179</v>
      </c>
      <c r="F6">
        <v>20</v>
      </c>
      <c r="G6" s="6">
        <v>0</v>
      </c>
      <c r="H6" t="s">
        <v>49</v>
      </c>
      <c r="I6" s="6" t="s">
        <v>178</v>
      </c>
      <c r="J6">
        <v>3</v>
      </c>
      <c r="K6" s="6" t="b">
        <v>1</v>
      </c>
      <c r="L6" s="6" t="s">
        <v>177</v>
      </c>
      <c r="M6" t="s">
        <v>176</v>
      </c>
      <c r="N6">
        <v>20</v>
      </c>
      <c r="O6">
        <v>2018</v>
      </c>
      <c r="P6" t="s">
        <v>175</v>
      </c>
      <c r="Q6" t="s">
        <v>174</v>
      </c>
    </row>
    <row r="7" spans="1:17" x14ac:dyDescent="0.25">
      <c r="A7" s="1">
        <v>43287</v>
      </c>
      <c r="B7" t="s">
        <v>5</v>
      </c>
      <c r="C7" t="s">
        <v>4</v>
      </c>
      <c r="D7" s="6" t="str">
        <f>VLOOKUP(Table1[[#This Row],[imposing_country]],Sheet8!$A$1:$B$7,2,0)</f>
        <v>United States</v>
      </c>
      <c r="E7" t="s">
        <v>173</v>
      </c>
      <c r="F7">
        <v>25</v>
      </c>
      <c r="G7" s="6">
        <v>0</v>
      </c>
      <c r="H7" t="s">
        <v>54</v>
      </c>
      <c r="I7" s="6" t="s">
        <v>101</v>
      </c>
      <c r="J7">
        <v>34</v>
      </c>
      <c r="K7" s="6" t="b">
        <v>0</v>
      </c>
      <c r="L7" s="6" t="s">
        <v>52</v>
      </c>
      <c r="M7" t="s">
        <v>172</v>
      </c>
      <c r="N7">
        <v>25</v>
      </c>
      <c r="O7">
        <v>2018</v>
      </c>
      <c r="P7" t="s">
        <v>160</v>
      </c>
      <c r="Q7" t="s">
        <v>169</v>
      </c>
    </row>
    <row r="8" spans="1:17" x14ac:dyDescent="0.25">
      <c r="A8" s="1">
        <v>43287</v>
      </c>
      <c r="B8" t="s">
        <v>62</v>
      </c>
      <c r="C8" t="s">
        <v>191</v>
      </c>
      <c r="D8" s="6" t="str">
        <f>VLOOKUP(Table1[[#This Row],[imposing_country]],Sheet8!$A$1:$B$7,2,0)</f>
        <v>China</v>
      </c>
      <c r="E8" t="s">
        <v>171</v>
      </c>
      <c r="F8">
        <v>25</v>
      </c>
      <c r="G8" s="6">
        <v>0</v>
      </c>
      <c r="H8" t="s">
        <v>49</v>
      </c>
      <c r="I8" s="6" t="s">
        <v>60</v>
      </c>
      <c r="J8">
        <v>34</v>
      </c>
      <c r="K8" s="6" t="b">
        <v>1</v>
      </c>
      <c r="L8" s="6" t="s">
        <v>59</v>
      </c>
      <c r="M8" t="s">
        <v>170</v>
      </c>
      <c r="N8">
        <v>25</v>
      </c>
      <c r="O8">
        <v>2018</v>
      </c>
      <c r="P8" t="s">
        <v>160</v>
      </c>
      <c r="Q8" t="s">
        <v>169</v>
      </c>
    </row>
    <row r="9" spans="1:17" x14ac:dyDescent="0.25">
      <c r="A9" s="1">
        <v>43335</v>
      </c>
      <c r="B9" t="s">
        <v>5</v>
      </c>
      <c r="C9" t="s">
        <v>4</v>
      </c>
      <c r="D9" s="6" t="str">
        <f>VLOOKUP(Table1[[#This Row],[imposing_country]],Sheet8!$A$1:$B$7,2,0)</f>
        <v>United States</v>
      </c>
      <c r="E9" t="s">
        <v>168</v>
      </c>
      <c r="F9">
        <v>25</v>
      </c>
      <c r="G9" s="6">
        <v>0</v>
      </c>
      <c r="H9" t="s">
        <v>54</v>
      </c>
      <c r="I9" s="6" t="s">
        <v>101</v>
      </c>
      <c r="J9">
        <v>16</v>
      </c>
      <c r="K9" s="6" t="b">
        <v>0</v>
      </c>
      <c r="L9" s="6" t="s">
        <v>52</v>
      </c>
      <c r="M9" t="s">
        <v>167</v>
      </c>
      <c r="N9">
        <v>25</v>
      </c>
      <c r="O9">
        <v>2018</v>
      </c>
      <c r="P9" t="s">
        <v>160</v>
      </c>
      <c r="Q9" t="s">
        <v>164</v>
      </c>
    </row>
    <row r="10" spans="1:17" x14ac:dyDescent="0.25">
      <c r="A10" s="1">
        <v>43335</v>
      </c>
      <c r="B10" t="s">
        <v>62</v>
      </c>
      <c r="C10" t="s">
        <v>191</v>
      </c>
      <c r="D10" s="6" t="str">
        <f>VLOOKUP(Table1[[#This Row],[imposing_country]],Sheet8!$A$1:$B$7,2,0)</f>
        <v>China</v>
      </c>
      <c r="E10" t="s">
        <v>166</v>
      </c>
      <c r="F10">
        <v>25</v>
      </c>
      <c r="G10" s="6">
        <v>0</v>
      </c>
      <c r="H10" t="s">
        <v>49</v>
      </c>
      <c r="I10" s="6" t="s">
        <v>60</v>
      </c>
      <c r="J10">
        <v>16</v>
      </c>
      <c r="K10" s="6" t="b">
        <v>1</v>
      </c>
      <c r="L10" s="6" t="s">
        <v>59</v>
      </c>
      <c r="M10" t="s">
        <v>165</v>
      </c>
      <c r="N10">
        <v>25</v>
      </c>
      <c r="O10">
        <v>2018</v>
      </c>
      <c r="P10" t="s">
        <v>160</v>
      </c>
      <c r="Q10" t="s">
        <v>164</v>
      </c>
    </row>
    <row r="11" spans="1:17" x14ac:dyDescent="0.25">
      <c r="A11" s="1">
        <v>43367</v>
      </c>
      <c r="B11" t="s">
        <v>62</v>
      </c>
      <c r="C11" t="s">
        <v>191</v>
      </c>
      <c r="D11" s="6" t="str">
        <f>VLOOKUP(Table1[[#This Row],[imposing_country]],Sheet8!$A$1:$B$7,2,0)</f>
        <v>China</v>
      </c>
      <c r="E11" t="s">
        <v>163</v>
      </c>
      <c r="F11">
        <v>10</v>
      </c>
      <c r="G11" s="6">
        <v>0</v>
      </c>
      <c r="H11" t="s">
        <v>49</v>
      </c>
      <c r="I11" s="6" t="s">
        <v>60</v>
      </c>
      <c r="J11">
        <v>60</v>
      </c>
      <c r="K11" s="6" t="b">
        <v>1</v>
      </c>
      <c r="L11" s="6" t="s">
        <v>59</v>
      </c>
      <c r="M11" t="s">
        <v>162</v>
      </c>
      <c r="N11">
        <v>10</v>
      </c>
      <c r="O11">
        <v>2018</v>
      </c>
      <c r="P11" t="s">
        <v>160</v>
      </c>
      <c r="Q11" t="s">
        <v>159</v>
      </c>
    </row>
    <row r="12" spans="1:17" x14ac:dyDescent="0.25">
      <c r="A12" s="1">
        <v>43367</v>
      </c>
      <c r="B12" t="s">
        <v>5</v>
      </c>
      <c r="C12" t="s">
        <v>4</v>
      </c>
      <c r="D12" s="6" t="str">
        <f>VLOOKUP(Table1[[#This Row],[imposing_country]],Sheet8!$A$1:$B$7,2,0)</f>
        <v>United States</v>
      </c>
      <c r="E12" t="s">
        <v>158</v>
      </c>
      <c r="F12">
        <v>10</v>
      </c>
      <c r="G12" s="6">
        <v>0</v>
      </c>
      <c r="H12" t="s">
        <v>54</v>
      </c>
      <c r="I12" s="6" t="s">
        <v>101</v>
      </c>
      <c r="J12">
        <v>200</v>
      </c>
      <c r="K12" s="6" t="b">
        <v>0</v>
      </c>
      <c r="L12" s="6" t="s">
        <v>52</v>
      </c>
      <c r="M12" t="s">
        <v>161</v>
      </c>
      <c r="N12">
        <v>10</v>
      </c>
      <c r="O12">
        <v>2018</v>
      </c>
      <c r="P12" t="s">
        <v>160</v>
      </c>
      <c r="Q12" t="s">
        <v>159</v>
      </c>
    </row>
    <row r="13" spans="1:17" x14ac:dyDescent="0.25">
      <c r="A13" s="1">
        <v>43595</v>
      </c>
      <c r="B13" t="s">
        <v>5</v>
      </c>
      <c r="C13" t="s">
        <v>4</v>
      </c>
      <c r="D13" s="6" t="str">
        <f>VLOOKUP(Table1[[#This Row],[imposing_country]],Sheet8!$A$1:$B$7,2,0)</f>
        <v>United States</v>
      </c>
      <c r="E13" t="s">
        <v>158</v>
      </c>
      <c r="F13">
        <v>25</v>
      </c>
      <c r="G13" s="6">
        <v>10</v>
      </c>
      <c r="H13" t="s">
        <v>69</v>
      </c>
      <c r="I13" s="6" t="s">
        <v>101</v>
      </c>
      <c r="J13">
        <v>200</v>
      </c>
      <c r="K13" s="6" t="b">
        <v>0</v>
      </c>
      <c r="L13" s="6" t="s">
        <v>52</v>
      </c>
      <c r="M13" t="s">
        <v>157</v>
      </c>
      <c r="N13">
        <v>15</v>
      </c>
      <c r="O13">
        <v>2019</v>
      </c>
      <c r="P13" t="s">
        <v>153</v>
      </c>
      <c r="Q13" t="s">
        <v>156</v>
      </c>
    </row>
    <row r="14" spans="1:17" x14ac:dyDescent="0.25">
      <c r="A14" s="1">
        <v>43617</v>
      </c>
      <c r="B14" t="s">
        <v>62</v>
      </c>
      <c r="C14" t="s">
        <v>191</v>
      </c>
      <c r="D14" s="6" t="str">
        <f>VLOOKUP(Table1[[#This Row],[imposing_country]],Sheet8!$A$1:$B$7,2,0)</f>
        <v>China</v>
      </c>
      <c r="E14" t="s">
        <v>155</v>
      </c>
      <c r="F14">
        <v>25</v>
      </c>
      <c r="G14" s="6">
        <v>10</v>
      </c>
      <c r="H14" t="s">
        <v>69</v>
      </c>
      <c r="I14" s="6" t="s">
        <v>60</v>
      </c>
      <c r="J14">
        <v>60</v>
      </c>
      <c r="K14" s="6" t="b">
        <v>1</v>
      </c>
      <c r="L14" s="6" t="s">
        <v>59</v>
      </c>
      <c r="M14" t="s">
        <v>154</v>
      </c>
      <c r="N14">
        <v>15</v>
      </c>
      <c r="O14">
        <v>2019</v>
      </c>
      <c r="P14" t="s">
        <v>153</v>
      </c>
      <c r="Q14" t="s">
        <v>152</v>
      </c>
    </row>
    <row r="15" spans="1:17" x14ac:dyDescent="0.25">
      <c r="A15" s="1">
        <v>43709</v>
      </c>
      <c r="B15" t="s">
        <v>5</v>
      </c>
      <c r="C15" t="s">
        <v>4</v>
      </c>
      <c r="D15" s="6" t="str">
        <f>VLOOKUP(Table1[[#This Row],[imposing_country]],Sheet8!$A$1:$B$7,2,0)</f>
        <v>United States</v>
      </c>
      <c r="E15" t="s">
        <v>151</v>
      </c>
      <c r="F15">
        <v>15</v>
      </c>
      <c r="G15" s="6">
        <v>0</v>
      </c>
      <c r="H15" t="s">
        <v>54</v>
      </c>
      <c r="I15" s="6" t="s">
        <v>101</v>
      </c>
      <c r="J15">
        <v>112</v>
      </c>
      <c r="K15" s="6" t="b">
        <v>0</v>
      </c>
      <c r="L15" s="6" t="s">
        <v>52</v>
      </c>
      <c r="M15" t="s">
        <v>150</v>
      </c>
      <c r="N15">
        <v>15</v>
      </c>
      <c r="O15">
        <v>2019</v>
      </c>
      <c r="P15" t="s">
        <v>149</v>
      </c>
      <c r="Q15" t="s">
        <v>148</v>
      </c>
    </row>
    <row r="16" spans="1:17" x14ac:dyDescent="0.25">
      <c r="A16" s="1">
        <v>43845</v>
      </c>
      <c r="B16" t="s">
        <v>5</v>
      </c>
      <c r="C16" t="s">
        <v>4</v>
      </c>
      <c r="D16" s="6" t="str">
        <f>VLOOKUP(Table1[[#This Row],[imposing_country]],Sheet8!$A$1:$B$7,2,0)</f>
        <v>United States</v>
      </c>
      <c r="E16" t="s">
        <v>147</v>
      </c>
      <c r="F16">
        <v>7.5</v>
      </c>
      <c r="G16" s="6">
        <v>15</v>
      </c>
      <c r="H16" t="s">
        <v>138</v>
      </c>
      <c r="I16" s="6" t="s">
        <v>146</v>
      </c>
      <c r="J16">
        <v>120</v>
      </c>
      <c r="K16" s="6" t="b">
        <v>0</v>
      </c>
      <c r="L16" s="6" t="s">
        <v>52</v>
      </c>
      <c r="M16" t="s">
        <v>145</v>
      </c>
      <c r="N16">
        <v>-7.5</v>
      </c>
      <c r="O16">
        <v>2020</v>
      </c>
      <c r="P16" t="s">
        <v>140</v>
      </c>
      <c r="Q16" t="s">
        <v>144</v>
      </c>
    </row>
    <row r="17" spans="1:17" x14ac:dyDescent="0.25">
      <c r="A17" s="1">
        <v>43875</v>
      </c>
      <c r="B17" t="s">
        <v>5</v>
      </c>
      <c r="C17" t="s">
        <v>192</v>
      </c>
      <c r="D17" s="6" t="str">
        <f>VLOOKUP(Table1[[#This Row],[imposing_country]],Sheet8!$A$1:$B$7,2,0)</f>
        <v>United States</v>
      </c>
      <c r="E17" t="s">
        <v>143</v>
      </c>
      <c r="F17">
        <v>25</v>
      </c>
      <c r="G17" s="6">
        <v>0</v>
      </c>
      <c r="H17" t="s">
        <v>54</v>
      </c>
      <c r="I17" s="6" t="s">
        <v>142</v>
      </c>
      <c r="J17">
        <v>7.5</v>
      </c>
      <c r="K17" s="6" t="b">
        <v>0</v>
      </c>
      <c r="L17" s="6" t="s">
        <v>52</v>
      </c>
      <c r="M17" t="s">
        <v>141</v>
      </c>
      <c r="N17">
        <v>25</v>
      </c>
      <c r="O17">
        <v>2020</v>
      </c>
      <c r="P17" t="s">
        <v>140</v>
      </c>
      <c r="Q17" t="s">
        <v>139</v>
      </c>
    </row>
    <row r="18" spans="1:17" x14ac:dyDescent="0.25">
      <c r="A18" s="1">
        <v>44287</v>
      </c>
      <c r="B18" t="s">
        <v>5</v>
      </c>
      <c r="C18" t="s">
        <v>192</v>
      </c>
      <c r="D18" s="6" t="str">
        <f>VLOOKUP(Table1[[#This Row],[imposing_country]],Sheet8!$A$1:$B$7,2,0)</f>
        <v>United States</v>
      </c>
      <c r="E18" t="s">
        <v>114</v>
      </c>
      <c r="F18">
        <v>0</v>
      </c>
      <c r="G18" s="6">
        <v>25</v>
      </c>
      <c r="H18" t="s">
        <v>138</v>
      </c>
      <c r="I18" s="6" t="s">
        <v>137</v>
      </c>
      <c r="J18">
        <v>10</v>
      </c>
      <c r="K18" s="6" t="b">
        <v>0</v>
      </c>
      <c r="L18" s="6" t="s">
        <v>87</v>
      </c>
      <c r="M18" t="s">
        <v>136</v>
      </c>
      <c r="N18">
        <v>-25</v>
      </c>
      <c r="O18">
        <v>2021</v>
      </c>
      <c r="P18" t="s">
        <v>135</v>
      </c>
      <c r="Q18" t="s">
        <v>134</v>
      </c>
    </row>
    <row r="19" spans="1:17" x14ac:dyDescent="0.25">
      <c r="A19" s="1">
        <v>44841</v>
      </c>
      <c r="B19" t="s">
        <v>5</v>
      </c>
      <c r="C19" t="s">
        <v>4</v>
      </c>
      <c r="D19" s="6" t="str">
        <f>VLOOKUP(Table1[[#This Row],[imposing_country]],Sheet8!$A$1:$B$7,2,0)</f>
        <v>United States</v>
      </c>
      <c r="E19" t="s">
        <v>133</v>
      </c>
      <c r="F19">
        <v>25</v>
      </c>
      <c r="G19" s="6">
        <v>0</v>
      </c>
      <c r="H19" t="s">
        <v>132</v>
      </c>
      <c r="I19" s="6" t="s">
        <v>131</v>
      </c>
      <c r="J19">
        <v>50</v>
      </c>
      <c r="K19" s="6" t="b">
        <v>0</v>
      </c>
      <c r="L19" s="6" t="s">
        <v>130</v>
      </c>
      <c r="M19" t="s">
        <v>129</v>
      </c>
      <c r="N19">
        <v>25</v>
      </c>
      <c r="O19">
        <v>2022</v>
      </c>
      <c r="P19" t="s">
        <v>128</v>
      </c>
      <c r="Q19" t="s">
        <v>127</v>
      </c>
    </row>
    <row r="20" spans="1:17" x14ac:dyDescent="0.25">
      <c r="A20" s="1">
        <v>45110</v>
      </c>
      <c r="B20" t="s">
        <v>62</v>
      </c>
      <c r="C20" t="s">
        <v>76</v>
      </c>
      <c r="D20" s="6" t="str">
        <f>VLOOKUP(Table1[[#This Row],[imposing_country]],Sheet8!$A$1:$B$7,2,0)</f>
        <v>China</v>
      </c>
      <c r="E20" t="s">
        <v>126</v>
      </c>
      <c r="F20">
        <v>100</v>
      </c>
      <c r="G20" s="6">
        <v>0</v>
      </c>
      <c r="H20" t="s">
        <v>121</v>
      </c>
      <c r="I20" s="6" t="s">
        <v>120</v>
      </c>
      <c r="J20">
        <v>1.5</v>
      </c>
      <c r="K20" s="6" t="b">
        <v>1</v>
      </c>
      <c r="L20" s="6" t="s">
        <v>59</v>
      </c>
      <c r="M20" t="s">
        <v>125</v>
      </c>
      <c r="N20">
        <v>100</v>
      </c>
      <c r="O20">
        <v>2023</v>
      </c>
      <c r="P20" t="s">
        <v>124</v>
      </c>
      <c r="Q20" t="s">
        <v>123</v>
      </c>
    </row>
    <row r="21" spans="1:17" x14ac:dyDescent="0.25">
      <c r="A21" s="1">
        <v>45261</v>
      </c>
      <c r="B21" t="s">
        <v>62</v>
      </c>
      <c r="C21" t="s">
        <v>76</v>
      </c>
      <c r="D21" s="6" t="str">
        <f>VLOOKUP(Table1[[#This Row],[imposing_country]],Sheet8!$A$1:$B$7,2,0)</f>
        <v>China</v>
      </c>
      <c r="E21" t="s">
        <v>122</v>
      </c>
      <c r="F21">
        <v>100</v>
      </c>
      <c r="G21" s="6">
        <v>0</v>
      </c>
      <c r="H21" t="s">
        <v>121</v>
      </c>
      <c r="I21" s="6" t="s">
        <v>120</v>
      </c>
      <c r="J21">
        <v>3</v>
      </c>
      <c r="K21" s="6" t="b">
        <v>1</v>
      </c>
      <c r="L21" s="6" t="s">
        <v>59</v>
      </c>
      <c r="M21" t="s">
        <v>119</v>
      </c>
      <c r="N21">
        <v>100</v>
      </c>
      <c r="O21">
        <v>2023</v>
      </c>
      <c r="P21" t="s">
        <v>118</v>
      </c>
      <c r="Q21" t="s">
        <v>117</v>
      </c>
    </row>
    <row r="22" spans="1:17" x14ac:dyDescent="0.25">
      <c r="A22" s="1">
        <v>45426</v>
      </c>
      <c r="B22" t="s">
        <v>5</v>
      </c>
      <c r="C22" t="s">
        <v>4</v>
      </c>
      <c r="D22" s="6" t="str">
        <f>VLOOKUP(Table1[[#This Row],[imposing_country]],Sheet8!$A$1:$B$7,2,0)</f>
        <v>United States</v>
      </c>
      <c r="E22" t="s">
        <v>23</v>
      </c>
      <c r="F22">
        <v>50</v>
      </c>
      <c r="G22" s="6">
        <v>25</v>
      </c>
      <c r="H22" t="s">
        <v>69</v>
      </c>
      <c r="I22" s="6" t="s">
        <v>113</v>
      </c>
      <c r="J22">
        <v>8</v>
      </c>
      <c r="K22" s="6" t="b">
        <v>0</v>
      </c>
      <c r="L22" s="6" t="s">
        <v>52</v>
      </c>
      <c r="M22" t="s">
        <v>116</v>
      </c>
      <c r="N22">
        <v>25</v>
      </c>
      <c r="O22">
        <v>2024</v>
      </c>
      <c r="P22" t="s">
        <v>111</v>
      </c>
      <c r="Q22" t="s">
        <v>110</v>
      </c>
    </row>
    <row r="23" spans="1:17" x14ac:dyDescent="0.25">
      <c r="A23" s="1">
        <v>45426</v>
      </c>
      <c r="B23" t="s">
        <v>5</v>
      </c>
      <c r="C23" t="s">
        <v>4</v>
      </c>
      <c r="D23" s="6" t="str">
        <f>VLOOKUP(Table1[[#This Row],[imposing_country]],Sheet8!$A$1:$B$7,2,0)</f>
        <v>United States</v>
      </c>
      <c r="E23" t="s">
        <v>109</v>
      </c>
      <c r="F23">
        <v>100</v>
      </c>
      <c r="G23" s="6">
        <v>25</v>
      </c>
      <c r="H23" t="s">
        <v>69</v>
      </c>
      <c r="I23" s="6" t="s">
        <v>113</v>
      </c>
      <c r="J23">
        <v>2</v>
      </c>
      <c r="K23" s="6" t="b">
        <v>0</v>
      </c>
      <c r="L23" s="6" t="s">
        <v>52</v>
      </c>
      <c r="M23" t="s">
        <v>115</v>
      </c>
      <c r="N23">
        <v>75</v>
      </c>
      <c r="O23">
        <v>2024</v>
      </c>
      <c r="P23" t="s">
        <v>111</v>
      </c>
      <c r="Q23" t="s">
        <v>110</v>
      </c>
    </row>
    <row r="24" spans="1:17" x14ac:dyDescent="0.25">
      <c r="A24" s="1">
        <v>45426</v>
      </c>
      <c r="B24" t="s">
        <v>5</v>
      </c>
      <c r="C24" t="s">
        <v>4</v>
      </c>
      <c r="D24" s="6" t="str">
        <f>VLOOKUP(Table1[[#This Row],[imposing_country]],Sheet8!$A$1:$B$7,2,0)</f>
        <v>United States</v>
      </c>
      <c r="E24" t="s">
        <v>114</v>
      </c>
      <c r="F24">
        <v>25</v>
      </c>
      <c r="G24" s="6">
        <v>7.5</v>
      </c>
      <c r="H24" t="s">
        <v>69</v>
      </c>
      <c r="I24" s="6" t="s">
        <v>113</v>
      </c>
      <c r="J24">
        <v>3.3</v>
      </c>
      <c r="K24" s="6" t="b">
        <v>0</v>
      </c>
      <c r="L24" s="6" t="s">
        <v>52</v>
      </c>
      <c r="M24" t="s">
        <v>112</v>
      </c>
      <c r="N24">
        <v>17.5</v>
      </c>
      <c r="O24">
        <v>2024</v>
      </c>
      <c r="P24" t="s">
        <v>111</v>
      </c>
      <c r="Q24" t="s">
        <v>110</v>
      </c>
    </row>
    <row r="25" spans="1:17" x14ac:dyDescent="0.25">
      <c r="A25" s="1">
        <v>45595</v>
      </c>
      <c r="B25" t="s">
        <v>67</v>
      </c>
      <c r="C25" t="s">
        <v>4</v>
      </c>
      <c r="D25" s="6" t="str">
        <f>VLOOKUP(Table1[[#This Row],[imposing_country]],Sheet8!$A$1:$B$7,2,0)</f>
        <v>European Union (27 European countries group)</v>
      </c>
      <c r="E25" t="s">
        <v>109</v>
      </c>
      <c r="F25">
        <v>35</v>
      </c>
      <c r="G25" s="6">
        <v>10</v>
      </c>
      <c r="H25" t="s">
        <v>54</v>
      </c>
      <c r="I25" s="6" t="s">
        <v>108</v>
      </c>
      <c r="J25">
        <v>9</v>
      </c>
      <c r="K25" s="6" t="b">
        <v>0</v>
      </c>
      <c r="L25" s="6" t="s">
        <v>64</v>
      </c>
      <c r="M25" t="s">
        <v>107</v>
      </c>
      <c r="N25">
        <v>25</v>
      </c>
      <c r="O25">
        <v>2024</v>
      </c>
      <c r="P25" t="s">
        <v>103</v>
      </c>
      <c r="Q25" t="s">
        <v>106</v>
      </c>
    </row>
    <row r="26" spans="1:17" x14ac:dyDescent="0.25">
      <c r="A26" s="1">
        <v>45630</v>
      </c>
      <c r="B26" t="s">
        <v>62</v>
      </c>
      <c r="C26" t="s">
        <v>192</v>
      </c>
      <c r="D26" s="6" t="str">
        <f>VLOOKUP(Table1[[#This Row],[imposing_country]],Sheet8!$A$1:$B$7,2,0)</f>
        <v>China</v>
      </c>
      <c r="E26" t="s">
        <v>105</v>
      </c>
      <c r="F26">
        <v>30</v>
      </c>
      <c r="G26" s="6">
        <v>0</v>
      </c>
      <c r="H26" t="s">
        <v>49</v>
      </c>
      <c r="I26" s="6" t="s">
        <v>60</v>
      </c>
      <c r="J26">
        <v>3</v>
      </c>
      <c r="K26" s="6" t="b">
        <v>1</v>
      </c>
      <c r="L26" s="6" t="s">
        <v>59</v>
      </c>
      <c r="M26" t="s">
        <v>104</v>
      </c>
      <c r="N26">
        <v>30</v>
      </c>
      <c r="O26">
        <v>2024</v>
      </c>
      <c r="P26" t="s">
        <v>103</v>
      </c>
      <c r="Q26" t="s">
        <v>102</v>
      </c>
    </row>
    <row r="27" spans="1:17" x14ac:dyDescent="0.25">
      <c r="A27" s="1">
        <v>45677</v>
      </c>
      <c r="B27" t="s">
        <v>5</v>
      </c>
      <c r="C27" t="s">
        <v>4</v>
      </c>
      <c r="D27" s="6" t="str">
        <f>VLOOKUP(Table1[[#This Row],[imposing_country]],Sheet8!$A$1:$B$7,2,0)</f>
        <v>United States</v>
      </c>
      <c r="E27" t="s">
        <v>61</v>
      </c>
      <c r="F27">
        <v>10</v>
      </c>
      <c r="G27" s="6">
        <v>7.5</v>
      </c>
      <c r="H27" t="s">
        <v>69</v>
      </c>
      <c r="I27" s="6" t="s">
        <v>101</v>
      </c>
      <c r="J27">
        <v>450</v>
      </c>
      <c r="K27" s="6" t="b">
        <v>0</v>
      </c>
      <c r="L27" s="6" t="s">
        <v>87</v>
      </c>
      <c r="M27" t="s">
        <v>100</v>
      </c>
      <c r="N27">
        <v>2.5</v>
      </c>
      <c r="O27">
        <v>2025</v>
      </c>
      <c r="P27" t="s">
        <v>78</v>
      </c>
      <c r="Q27" t="s">
        <v>99</v>
      </c>
    </row>
    <row r="28" spans="1:17" x14ac:dyDescent="0.25">
      <c r="A28" s="1">
        <v>45689</v>
      </c>
      <c r="B28" t="s">
        <v>5</v>
      </c>
      <c r="C28" t="s">
        <v>3</v>
      </c>
      <c r="D28" s="6" t="str">
        <f>VLOOKUP(Table1[[#This Row],[imposing_country]],Sheet8!$A$1:$B$7,2,0)</f>
        <v>United States</v>
      </c>
      <c r="E28" t="s">
        <v>61</v>
      </c>
      <c r="F28">
        <v>25</v>
      </c>
      <c r="G28" s="6">
        <v>0</v>
      </c>
      <c r="H28" t="s">
        <v>54</v>
      </c>
      <c r="I28" s="6" t="s">
        <v>53</v>
      </c>
      <c r="J28">
        <v>350</v>
      </c>
      <c r="K28" s="6" t="b">
        <v>0</v>
      </c>
      <c r="L28" s="6" t="s">
        <v>87</v>
      </c>
      <c r="M28" t="s">
        <v>98</v>
      </c>
      <c r="N28">
        <v>25</v>
      </c>
      <c r="O28">
        <v>2025</v>
      </c>
      <c r="P28" t="s">
        <v>78</v>
      </c>
      <c r="Q28" t="s">
        <v>88</v>
      </c>
    </row>
    <row r="29" spans="1:17" x14ac:dyDescent="0.25">
      <c r="A29" s="1">
        <v>45689</v>
      </c>
      <c r="B29" t="s">
        <v>5</v>
      </c>
      <c r="C29" t="s">
        <v>2</v>
      </c>
      <c r="D29" s="6" t="str">
        <f>VLOOKUP(Table1[[#This Row],[imposing_country]],Sheet8!$A$1:$B$7,2,0)</f>
        <v>United States</v>
      </c>
      <c r="E29" t="s">
        <v>61</v>
      </c>
      <c r="F29">
        <v>25</v>
      </c>
      <c r="G29" s="6">
        <v>0</v>
      </c>
      <c r="H29" t="s">
        <v>54</v>
      </c>
      <c r="I29" s="6" t="s">
        <v>53</v>
      </c>
      <c r="J29">
        <v>475</v>
      </c>
      <c r="K29" s="6" t="b">
        <v>0</v>
      </c>
      <c r="L29" s="6" t="s">
        <v>87</v>
      </c>
      <c r="M29" t="s">
        <v>96</v>
      </c>
      <c r="N29">
        <v>25</v>
      </c>
      <c r="O29">
        <v>2025</v>
      </c>
      <c r="P29" t="s">
        <v>78</v>
      </c>
      <c r="Q29" t="s">
        <v>88</v>
      </c>
    </row>
    <row r="30" spans="1:17" x14ac:dyDescent="0.25">
      <c r="A30" s="1">
        <v>45692</v>
      </c>
      <c r="B30" t="s">
        <v>62</v>
      </c>
      <c r="C30" t="s">
        <v>191</v>
      </c>
      <c r="D30" s="6" t="str">
        <f>VLOOKUP(Table1[[#This Row],[imposing_country]],Sheet8!$A$1:$B$7,2,0)</f>
        <v>China</v>
      </c>
      <c r="E30" t="s">
        <v>95</v>
      </c>
      <c r="F30">
        <v>15</v>
      </c>
      <c r="G30" s="6">
        <v>0</v>
      </c>
      <c r="H30" t="s">
        <v>49</v>
      </c>
      <c r="I30" s="6" t="s">
        <v>60</v>
      </c>
      <c r="J30">
        <v>80</v>
      </c>
      <c r="K30" s="6" t="b">
        <v>1</v>
      </c>
      <c r="L30" s="6" t="s">
        <v>59</v>
      </c>
      <c r="M30" t="s">
        <v>94</v>
      </c>
      <c r="N30">
        <v>15</v>
      </c>
      <c r="O30">
        <v>2025</v>
      </c>
      <c r="P30" t="s">
        <v>78</v>
      </c>
      <c r="Q30" t="s">
        <v>88</v>
      </c>
    </row>
    <row r="31" spans="1:17" x14ac:dyDescent="0.25">
      <c r="A31" s="1">
        <v>45698</v>
      </c>
      <c r="B31" t="s">
        <v>93</v>
      </c>
      <c r="C31" t="s">
        <v>191</v>
      </c>
      <c r="D31" s="6" t="str">
        <f>VLOOKUP(Table1[[#This Row],[imposing_country]],Sheet8!$A$1:$B$7,2,0)</f>
        <v>Canada</v>
      </c>
      <c r="E31" t="s">
        <v>92</v>
      </c>
      <c r="F31">
        <v>25</v>
      </c>
      <c r="G31" s="6">
        <v>0</v>
      </c>
      <c r="H31" t="s">
        <v>49</v>
      </c>
      <c r="I31" s="6" t="s">
        <v>91</v>
      </c>
      <c r="J31">
        <v>30</v>
      </c>
      <c r="K31" s="6" t="b">
        <v>1</v>
      </c>
      <c r="L31" s="6" t="s">
        <v>90</v>
      </c>
      <c r="M31" t="s">
        <v>89</v>
      </c>
      <c r="N31">
        <v>25</v>
      </c>
      <c r="O31">
        <v>2025</v>
      </c>
      <c r="P31" t="s">
        <v>78</v>
      </c>
      <c r="Q31" t="s">
        <v>88</v>
      </c>
    </row>
    <row r="32" spans="1:17" x14ac:dyDescent="0.25">
      <c r="A32" s="1">
        <v>45720</v>
      </c>
      <c r="B32" t="s">
        <v>5</v>
      </c>
      <c r="C32" t="s">
        <v>4</v>
      </c>
      <c r="D32" s="6" t="str">
        <f>VLOOKUP(Table1[[#This Row],[imposing_country]],Sheet8!$A$1:$B$7,2,0)</f>
        <v>United States</v>
      </c>
      <c r="E32" t="s">
        <v>61</v>
      </c>
      <c r="F32">
        <v>20</v>
      </c>
      <c r="G32" s="6">
        <v>10</v>
      </c>
      <c r="H32" t="s">
        <v>69</v>
      </c>
      <c r="I32" s="6" t="s">
        <v>53</v>
      </c>
      <c r="J32">
        <v>450</v>
      </c>
      <c r="K32" s="6" t="b">
        <v>0</v>
      </c>
      <c r="L32" s="6" t="s">
        <v>87</v>
      </c>
      <c r="M32" t="s">
        <v>86</v>
      </c>
      <c r="N32">
        <v>10</v>
      </c>
      <c r="O32">
        <v>2025</v>
      </c>
      <c r="P32" t="s">
        <v>78</v>
      </c>
      <c r="Q32" t="s">
        <v>77</v>
      </c>
    </row>
    <row r="33" spans="1:17" x14ac:dyDescent="0.25">
      <c r="A33" s="1">
        <v>45728</v>
      </c>
      <c r="B33" t="s">
        <v>67</v>
      </c>
      <c r="C33" t="s">
        <v>191</v>
      </c>
      <c r="D33" s="6" t="str">
        <f>VLOOKUP(Table1[[#This Row],[imposing_country]],Sheet8!$A$1:$B$7,2,0)</f>
        <v>European Union (27 European countries group)</v>
      </c>
      <c r="E33" t="s">
        <v>85</v>
      </c>
      <c r="F33">
        <v>25</v>
      </c>
      <c r="G33" s="6">
        <v>0</v>
      </c>
      <c r="H33" t="s">
        <v>49</v>
      </c>
      <c r="I33" s="6" t="s">
        <v>65</v>
      </c>
      <c r="J33">
        <v>18</v>
      </c>
      <c r="K33" s="6" t="b">
        <v>1</v>
      </c>
      <c r="L33" s="6" t="s">
        <v>64</v>
      </c>
      <c r="M33" t="s">
        <v>84</v>
      </c>
      <c r="N33">
        <v>25</v>
      </c>
      <c r="O33">
        <v>2025</v>
      </c>
      <c r="P33" t="s">
        <v>78</v>
      </c>
      <c r="Q33" t="s">
        <v>77</v>
      </c>
    </row>
    <row r="34" spans="1:17" x14ac:dyDescent="0.25">
      <c r="A34" s="1">
        <v>45728</v>
      </c>
      <c r="B34" t="s">
        <v>5</v>
      </c>
      <c r="C34" t="s">
        <v>76</v>
      </c>
      <c r="D34" s="6" t="str">
        <f>VLOOKUP(Table1[[#This Row],[imposing_country]],Sheet8!$A$1:$B$7,2,0)</f>
        <v>United States</v>
      </c>
      <c r="E34" t="s">
        <v>83</v>
      </c>
      <c r="F34">
        <v>25</v>
      </c>
      <c r="G34" s="6">
        <v>25</v>
      </c>
      <c r="H34" t="s">
        <v>82</v>
      </c>
      <c r="I34" s="6" t="s">
        <v>81</v>
      </c>
      <c r="J34">
        <v>40</v>
      </c>
      <c r="K34" s="6" t="b">
        <v>0</v>
      </c>
      <c r="L34" s="6" t="s">
        <v>80</v>
      </c>
      <c r="M34" t="s">
        <v>79</v>
      </c>
      <c r="N34">
        <v>0</v>
      </c>
      <c r="O34">
        <v>2025</v>
      </c>
      <c r="P34" t="s">
        <v>78</v>
      </c>
      <c r="Q34" t="s">
        <v>77</v>
      </c>
    </row>
    <row r="35" spans="1:17" x14ac:dyDescent="0.25">
      <c r="A35" s="1">
        <v>45749</v>
      </c>
      <c r="B35" t="s">
        <v>5</v>
      </c>
      <c r="C35" t="s">
        <v>76</v>
      </c>
      <c r="D35" s="6" t="str">
        <f>VLOOKUP(Table1[[#This Row],[imposing_country]],Sheet8!$A$1:$B$7,2,0)</f>
        <v>United States</v>
      </c>
      <c r="E35" t="s">
        <v>61</v>
      </c>
      <c r="F35">
        <v>10</v>
      </c>
      <c r="G35" s="6">
        <v>0</v>
      </c>
      <c r="H35" t="s">
        <v>75</v>
      </c>
      <c r="I35" s="6" t="s">
        <v>53</v>
      </c>
      <c r="J35">
        <v>3300</v>
      </c>
      <c r="K35" s="6" t="b">
        <v>0</v>
      </c>
      <c r="L35" s="6" t="s">
        <v>52</v>
      </c>
      <c r="M35" t="s">
        <v>74</v>
      </c>
      <c r="N35">
        <v>10</v>
      </c>
      <c r="O35">
        <v>2025</v>
      </c>
      <c r="P35" t="s">
        <v>57</v>
      </c>
      <c r="Q35" t="s">
        <v>56</v>
      </c>
    </row>
    <row r="36" spans="1:17" x14ac:dyDescent="0.25">
      <c r="A36" s="1">
        <v>45751</v>
      </c>
      <c r="B36" t="s">
        <v>62</v>
      </c>
      <c r="C36" t="s">
        <v>191</v>
      </c>
      <c r="D36" s="6" t="str">
        <f>VLOOKUP(Table1[[#This Row],[imposing_country]],Sheet8!$A$1:$B$7,2,0)</f>
        <v>China</v>
      </c>
      <c r="E36" t="s">
        <v>61</v>
      </c>
      <c r="F36">
        <v>34</v>
      </c>
      <c r="G36" s="6">
        <v>15</v>
      </c>
      <c r="H36" t="s">
        <v>49</v>
      </c>
      <c r="I36" s="6" t="s">
        <v>60</v>
      </c>
      <c r="J36">
        <v>180</v>
      </c>
      <c r="K36" s="6" t="b">
        <v>1</v>
      </c>
      <c r="L36" s="6" t="s">
        <v>59</v>
      </c>
      <c r="M36" t="s">
        <v>73</v>
      </c>
      <c r="N36">
        <v>19</v>
      </c>
      <c r="O36">
        <v>2025</v>
      </c>
      <c r="P36" t="s">
        <v>57</v>
      </c>
      <c r="Q36" t="s">
        <v>56</v>
      </c>
    </row>
    <row r="37" spans="1:17" x14ac:dyDescent="0.25">
      <c r="A37" s="1">
        <v>45756</v>
      </c>
      <c r="B37" t="s">
        <v>62</v>
      </c>
      <c r="C37" t="s">
        <v>191</v>
      </c>
      <c r="D37" s="6" t="str">
        <f>VLOOKUP(Table1[[#This Row],[imposing_country]],Sheet8!$A$1:$B$7,2,0)</f>
        <v>China</v>
      </c>
      <c r="E37" t="s">
        <v>61</v>
      </c>
      <c r="F37">
        <v>84</v>
      </c>
      <c r="G37" s="6">
        <v>34</v>
      </c>
      <c r="H37" t="s">
        <v>49</v>
      </c>
      <c r="I37" s="6" t="s">
        <v>60</v>
      </c>
      <c r="J37">
        <v>180</v>
      </c>
      <c r="K37" s="6" t="b">
        <v>1</v>
      </c>
      <c r="L37" s="6" t="s">
        <v>59</v>
      </c>
      <c r="M37" t="s">
        <v>72</v>
      </c>
      <c r="N37">
        <v>50</v>
      </c>
      <c r="O37">
        <v>2025</v>
      </c>
      <c r="P37" t="s">
        <v>57</v>
      </c>
      <c r="Q37" t="s">
        <v>56</v>
      </c>
    </row>
    <row r="38" spans="1:17" x14ac:dyDescent="0.25">
      <c r="A38" s="1">
        <v>45756</v>
      </c>
      <c r="B38" t="s">
        <v>5</v>
      </c>
      <c r="C38" t="s">
        <v>4</v>
      </c>
      <c r="D38" s="6" t="str">
        <f>VLOOKUP(Table1[[#This Row],[imposing_country]],Sheet8!$A$1:$B$7,2,0)</f>
        <v>United States</v>
      </c>
      <c r="E38" t="s">
        <v>61</v>
      </c>
      <c r="F38">
        <v>145</v>
      </c>
      <c r="G38" s="6">
        <v>54</v>
      </c>
      <c r="H38" t="s">
        <v>69</v>
      </c>
      <c r="I38" s="6" t="s">
        <v>71</v>
      </c>
      <c r="J38">
        <v>525</v>
      </c>
      <c r="K38" s="6" t="b">
        <v>0</v>
      </c>
      <c r="L38" s="6" t="s">
        <v>52</v>
      </c>
      <c r="M38" t="s">
        <v>70</v>
      </c>
      <c r="N38">
        <v>91</v>
      </c>
      <c r="O38">
        <v>2025</v>
      </c>
      <c r="P38" t="s">
        <v>57</v>
      </c>
      <c r="Q38" t="s">
        <v>56</v>
      </c>
    </row>
    <row r="39" spans="1:17" x14ac:dyDescent="0.25">
      <c r="A39" s="1">
        <v>45756</v>
      </c>
      <c r="B39" t="s">
        <v>5</v>
      </c>
      <c r="C39" t="s">
        <v>192</v>
      </c>
      <c r="D39" s="6" t="str">
        <f>VLOOKUP(Table1[[#This Row],[imposing_country]],Sheet8!$A$1:$B$7,2,0)</f>
        <v>United States</v>
      </c>
      <c r="E39" t="s">
        <v>61</v>
      </c>
      <c r="F39">
        <v>20</v>
      </c>
      <c r="G39" s="6">
        <v>3.5</v>
      </c>
      <c r="H39" t="s">
        <v>69</v>
      </c>
      <c r="I39" s="6" t="s">
        <v>53</v>
      </c>
      <c r="J39">
        <v>600</v>
      </c>
      <c r="K39" s="6" t="b">
        <v>0</v>
      </c>
      <c r="L39" s="6" t="s">
        <v>52</v>
      </c>
      <c r="M39" t="s">
        <v>68</v>
      </c>
      <c r="N39">
        <v>16.5</v>
      </c>
      <c r="O39">
        <v>2025</v>
      </c>
      <c r="P39" t="s">
        <v>57</v>
      </c>
      <c r="Q39" t="s">
        <v>56</v>
      </c>
    </row>
    <row r="40" spans="1:17" x14ac:dyDescent="0.25">
      <c r="A40" s="1">
        <v>45762</v>
      </c>
      <c r="B40" t="s">
        <v>67</v>
      </c>
      <c r="C40" t="s">
        <v>191</v>
      </c>
      <c r="D40" s="6" t="str">
        <f>VLOOKUP(Table1[[#This Row],[imposing_country]],Sheet8!$A$1:$B$7,2,0)</f>
        <v>European Union (27 European countries group)</v>
      </c>
      <c r="E40" t="s">
        <v>66</v>
      </c>
      <c r="F40">
        <v>25</v>
      </c>
      <c r="G40" s="6">
        <v>0</v>
      </c>
      <c r="H40" t="s">
        <v>49</v>
      </c>
      <c r="I40" s="6" t="s">
        <v>65</v>
      </c>
      <c r="J40">
        <v>21</v>
      </c>
      <c r="K40" s="6" t="b">
        <v>1</v>
      </c>
      <c r="L40" s="6" t="s">
        <v>64</v>
      </c>
      <c r="M40" t="s">
        <v>63</v>
      </c>
      <c r="N40">
        <v>25</v>
      </c>
      <c r="O40">
        <v>2025</v>
      </c>
      <c r="P40" t="s">
        <v>57</v>
      </c>
      <c r="Q40" t="s">
        <v>56</v>
      </c>
    </row>
    <row r="41" spans="1:17" x14ac:dyDescent="0.25">
      <c r="A41" s="1">
        <v>45772</v>
      </c>
      <c r="B41" t="s">
        <v>62</v>
      </c>
      <c r="C41" t="s">
        <v>191</v>
      </c>
      <c r="D41" s="6" t="str">
        <f>VLOOKUP(Table1[[#This Row],[imposing_country]],Sheet8!$A$1:$B$7,2,0)</f>
        <v>China</v>
      </c>
      <c r="E41" t="s">
        <v>61</v>
      </c>
      <c r="F41">
        <v>125</v>
      </c>
      <c r="G41" s="6">
        <v>84</v>
      </c>
      <c r="H41" t="s">
        <v>49</v>
      </c>
      <c r="I41" s="6" t="s">
        <v>60</v>
      </c>
      <c r="J41">
        <v>180</v>
      </c>
      <c r="K41" s="6" t="b">
        <v>1</v>
      </c>
      <c r="L41" s="6" t="s">
        <v>59</v>
      </c>
      <c r="M41" t="s">
        <v>58</v>
      </c>
      <c r="N41">
        <v>41</v>
      </c>
      <c r="O41">
        <v>2025</v>
      </c>
      <c r="P41" t="s">
        <v>57</v>
      </c>
      <c r="Q41" t="s">
        <v>56</v>
      </c>
    </row>
    <row r="42" spans="1:17" x14ac:dyDescent="0.25">
      <c r="A42" s="1">
        <v>45839</v>
      </c>
      <c r="B42" t="s">
        <v>5</v>
      </c>
      <c r="C42" t="s">
        <v>1</v>
      </c>
      <c r="D42" s="6" t="str">
        <f>VLOOKUP(Table1[[#This Row],[imposing_country]],Sheet8!$A$1:$B$7,2,0)</f>
        <v>United States</v>
      </c>
      <c r="E42" t="s">
        <v>55</v>
      </c>
      <c r="F42">
        <v>26</v>
      </c>
      <c r="G42" s="6">
        <v>0</v>
      </c>
      <c r="H42" t="s">
        <v>54</v>
      </c>
      <c r="I42" s="6" t="s">
        <v>53</v>
      </c>
      <c r="J42">
        <v>85</v>
      </c>
      <c r="K42" s="6" t="b">
        <v>0</v>
      </c>
      <c r="L42" s="6" t="s">
        <v>52</v>
      </c>
      <c r="M42" t="s">
        <v>51</v>
      </c>
      <c r="N42">
        <v>26</v>
      </c>
      <c r="O42">
        <v>2025</v>
      </c>
      <c r="P42" t="s">
        <v>45</v>
      </c>
      <c r="Q42" t="s">
        <v>44</v>
      </c>
    </row>
    <row r="43" spans="1:17" x14ac:dyDescent="0.25">
      <c r="A43" s="1">
        <v>45853</v>
      </c>
      <c r="B43" t="s">
        <v>50</v>
      </c>
      <c r="C43" t="s">
        <v>191</v>
      </c>
      <c r="D43" s="6" t="str">
        <f>VLOOKUP(Table1[[#This Row],[imposing_country]],Sheet8!$A$1:$B$7,2,0)</f>
        <v>India</v>
      </c>
      <c r="E43" t="s">
        <v>24</v>
      </c>
      <c r="F43">
        <v>100</v>
      </c>
      <c r="G43" s="6">
        <v>40</v>
      </c>
      <c r="H43" t="s">
        <v>49</v>
      </c>
      <c r="I43" s="6" t="s">
        <v>48</v>
      </c>
      <c r="J43">
        <v>8</v>
      </c>
      <c r="K43" s="6" t="b">
        <v>1</v>
      </c>
      <c r="L43" s="6" t="s">
        <v>47</v>
      </c>
      <c r="M43" t="s">
        <v>46</v>
      </c>
      <c r="N43">
        <v>60</v>
      </c>
      <c r="O43">
        <v>2025</v>
      </c>
      <c r="P43" t="s">
        <v>45</v>
      </c>
      <c r="Q43" t="s">
        <v>44</v>
      </c>
    </row>
    <row r="44" spans="1:17" x14ac:dyDescent="0.25">
      <c r="A44" s="1">
        <v>46122</v>
      </c>
      <c r="B44" t="s">
        <v>5</v>
      </c>
      <c r="C44" t="s">
        <v>22</v>
      </c>
      <c r="D44" s="6" t="str">
        <f>VLOOKUP(Table1[[#This Row],[imposing_country]],Sheet8!$A$1:$B$7,2,0)</f>
        <v>United States</v>
      </c>
      <c r="E44" t="s">
        <v>30</v>
      </c>
      <c r="F44">
        <v>10</v>
      </c>
      <c r="G44" s="6">
        <v>0</v>
      </c>
      <c r="H44" t="s">
        <v>29</v>
      </c>
      <c r="K44" s="6" t="b">
        <v>0</v>
      </c>
      <c r="L44" s="6" t="s">
        <v>43</v>
      </c>
      <c r="M44" t="s">
        <v>42</v>
      </c>
      <c r="N44">
        <v>10</v>
      </c>
      <c r="O44">
        <v>2026</v>
      </c>
      <c r="P44" t="s">
        <v>26</v>
      </c>
      <c r="Q44" t="s">
        <v>38</v>
      </c>
    </row>
    <row r="45" spans="1:17" x14ac:dyDescent="0.25">
      <c r="A45" s="1">
        <v>46123</v>
      </c>
      <c r="B45" t="s">
        <v>5</v>
      </c>
      <c r="C45" t="s">
        <v>22</v>
      </c>
      <c r="D45" s="6" t="str">
        <f>VLOOKUP(Table1[[#This Row],[imposing_country]],Sheet8!$A$1:$B$7,2,0)</f>
        <v>United States</v>
      </c>
      <c r="E45" t="s">
        <v>30</v>
      </c>
      <c r="F45">
        <v>50</v>
      </c>
      <c r="G45" s="6">
        <v>0</v>
      </c>
      <c r="H45" t="s">
        <v>29</v>
      </c>
      <c r="K45" s="6" t="b">
        <v>0</v>
      </c>
      <c r="L45" s="6" t="s">
        <v>41</v>
      </c>
      <c r="M45" t="s">
        <v>40</v>
      </c>
      <c r="N45">
        <v>50</v>
      </c>
      <c r="O45">
        <v>2026</v>
      </c>
      <c r="P45" t="s">
        <v>26</v>
      </c>
      <c r="Q45" t="s">
        <v>38</v>
      </c>
    </row>
    <row r="46" spans="1:17" x14ac:dyDescent="0.25">
      <c r="A46" s="1">
        <v>46125</v>
      </c>
      <c r="B46" t="s">
        <v>5</v>
      </c>
      <c r="C46" t="s">
        <v>4</v>
      </c>
      <c r="D46" s="6" t="str">
        <f>VLOOKUP(Table1[[#This Row],[imposing_country]],Sheet8!$A$1:$B$7,2,0)</f>
        <v>United States</v>
      </c>
      <c r="E46" t="s">
        <v>30</v>
      </c>
      <c r="F46">
        <v>50</v>
      </c>
      <c r="G46" s="6">
        <v>0</v>
      </c>
      <c r="H46" t="s">
        <v>29</v>
      </c>
      <c r="K46" s="6" t="b">
        <v>0</v>
      </c>
      <c r="L46" s="6" t="s">
        <v>37</v>
      </c>
      <c r="M46" t="s">
        <v>39</v>
      </c>
      <c r="N46">
        <v>50</v>
      </c>
      <c r="O46">
        <v>2026</v>
      </c>
      <c r="P46" t="s">
        <v>26</v>
      </c>
      <c r="Q46" t="s">
        <v>38</v>
      </c>
    </row>
    <row r="47" spans="1:17" x14ac:dyDescent="0.25">
      <c r="A47" s="1">
        <v>46143</v>
      </c>
      <c r="B47" t="s">
        <v>5</v>
      </c>
      <c r="C47" t="s">
        <v>0</v>
      </c>
      <c r="D47" s="6" t="str">
        <f>VLOOKUP(Table1[[#This Row],[imposing_country]],Sheet8!$A$1:$B$7,2,0)</f>
        <v>United States</v>
      </c>
      <c r="E47" t="s">
        <v>30</v>
      </c>
      <c r="F47">
        <v>25</v>
      </c>
      <c r="G47" s="6">
        <v>0</v>
      </c>
      <c r="H47" t="s">
        <v>29</v>
      </c>
      <c r="K47" s="6" t="b">
        <v>0</v>
      </c>
      <c r="L47" s="6" t="s">
        <v>37</v>
      </c>
      <c r="M47" t="s">
        <v>36</v>
      </c>
      <c r="N47">
        <v>25</v>
      </c>
      <c r="O47">
        <v>2026</v>
      </c>
      <c r="P47" t="s">
        <v>26</v>
      </c>
      <c r="Q47" t="s">
        <v>25</v>
      </c>
    </row>
    <row r="48" spans="1:17" x14ac:dyDescent="0.25">
      <c r="A48" s="1">
        <v>46143</v>
      </c>
      <c r="B48" t="s">
        <v>5</v>
      </c>
      <c r="C48" t="s">
        <v>31</v>
      </c>
      <c r="D48" s="6" t="str">
        <f>VLOOKUP(Table1[[#This Row],[imposing_country]],Sheet8!$A$1:$B$7,2,0)</f>
        <v>United States</v>
      </c>
      <c r="E48" t="s">
        <v>30</v>
      </c>
      <c r="F48">
        <v>25</v>
      </c>
      <c r="G48" s="6">
        <v>0</v>
      </c>
      <c r="H48" t="s">
        <v>29</v>
      </c>
      <c r="K48" s="6" t="b">
        <v>0</v>
      </c>
      <c r="L48" s="6" t="s">
        <v>35</v>
      </c>
      <c r="M48" t="s">
        <v>34</v>
      </c>
      <c r="N48">
        <v>25</v>
      </c>
      <c r="O48">
        <v>2026</v>
      </c>
      <c r="P48" t="s">
        <v>26</v>
      </c>
      <c r="Q48" t="s">
        <v>25</v>
      </c>
    </row>
    <row r="49" spans="1:17" x14ac:dyDescent="0.25">
      <c r="A49" s="1">
        <v>46146</v>
      </c>
      <c r="B49" t="s">
        <v>5</v>
      </c>
      <c r="C49" t="s">
        <v>31</v>
      </c>
      <c r="D49" s="6" t="str">
        <f>VLOOKUP(Table1[[#This Row],[imposing_country]],Sheet8!$A$1:$B$7,2,0)</f>
        <v>United States</v>
      </c>
      <c r="E49" t="s">
        <v>30</v>
      </c>
      <c r="F49">
        <v>25</v>
      </c>
      <c r="G49" s="6">
        <v>0</v>
      </c>
      <c r="H49" t="s">
        <v>29</v>
      </c>
      <c r="K49" s="6" t="b">
        <v>0</v>
      </c>
      <c r="L49" s="6" t="s">
        <v>33</v>
      </c>
      <c r="M49" t="s">
        <v>32</v>
      </c>
      <c r="N49">
        <v>25</v>
      </c>
      <c r="O49">
        <v>2026</v>
      </c>
      <c r="P49" t="s">
        <v>26</v>
      </c>
      <c r="Q49" t="s">
        <v>25</v>
      </c>
    </row>
    <row r="50" spans="1:17" x14ac:dyDescent="0.25">
      <c r="A50" s="1">
        <v>46147</v>
      </c>
      <c r="B50" t="s">
        <v>5</v>
      </c>
      <c r="C50" t="s">
        <v>31</v>
      </c>
      <c r="D50" s="6" t="str">
        <f>VLOOKUP(Table1[[#This Row],[imposing_country]],Sheet8!$A$1:$B$7,2,0)</f>
        <v>United States</v>
      </c>
      <c r="E50" t="s">
        <v>30</v>
      </c>
      <c r="F50">
        <v>25</v>
      </c>
      <c r="G50" s="6">
        <v>0</v>
      </c>
      <c r="H50" t="s">
        <v>29</v>
      </c>
      <c r="K50" s="6" t="b">
        <v>0</v>
      </c>
      <c r="L50" s="6" t="s">
        <v>28</v>
      </c>
      <c r="M50" t="s">
        <v>27</v>
      </c>
      <c r="N50">
        <v>25</v>
      </c>
      <c r="O50">
        <v>2026</v>
      </c>
      <c r="P50" t="s">
        <v>26</v>
      </c>
      <c r="Q50"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489C-C8A0-4958-9084-8C1D1F12BB0C}">
  <dimension ref="A1:B7"/>
  <sheetViews>
    <sheetView workbookViewId="0">
      <selection activeCell="B7" sqref="B7"/>
    </sheetView>
  </sheetViews>
  <sheetFormatPr defaultRowHeight="15" x14ac:dyDescent="0.25"/>
  <cols>
    <col min="1" max="1" width="5.7109375" bestFit="1" customWidth="1"/>
    <col min="2" max="2" width="25.5703125" customWidth="1"/>
  </cols>
  <sheetData>
    <row r="1" spans="1:2" ht="30" x14ac:dyDescent="0.25">
      <c r="A1" s="3" t="s">
        <v>189</v>
      </c>
      <c r="B1" s="3" t="s">
        <v>190</v>
      </c>
    </row>
    <row r="2" spans="1:2" ht="30" x14ac:dyDescent="0.25">
      <c r="A2" s="4" t="s">
        <v>5</v>
      </c>
      <c r="B2" s="4" t="s">
        <v>191</v>
      </c>
    </row>
    <row r="3" spans="1:2" ht="105" x14ac:dyDescent="0.25">
      <c r="A3" s="4" t="s">
        <v>67</v>
      </c>
      <c r="B3" s="4" t="s">
        <v>192</v>
      </c>
    </row>
    <row r="4" spans="1:2" x14ac:dyDescent="0.25">
      <c r="A4" s="4" t="s">
        <v>93</v>
      </c>
      <c r="B4" s="4" t="s">
        <v>3</v>
      </c>
    </row>
    <row r="5" spans="1:2" x14ac:dyDescent="0.25">
      <c r="A5" s="4" t="s">
        <v>62</v>
      </c>
      <c r="B5" s="4" t="s">
        <v>4</v>
      </c>
    </row>
    <row r="6" spans="1:2" x14ac:dyDescent="0.25">
      <c r="A6" s="4" t="s">
        <v>50</v>
      </c>
      <c r="B6" s="4" t="s">
        <v>1</v>
      </c>
    </row>
    <row r="7" spans="1:2" x14ac:dyDescent="0.25">
      <c r="A7" s="4" t="s">
        <v>97</v>
      </c>
      <c r="B7" s="4"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508F3-128D-42F3-B758-2224520A41A7}">
  <dimension ref="A1:Q14"/>
  <sheetViews>
    <sheetView workbookViewId="0">
      <selection activeCell="A6" sqref="A6"/>
    </sheetView>
  </sheetViews>
  <sheetFormatPr defaultRowHeight="15" x14ac:dyDescent="0.25"/>
  <cols>
    <col min="1" max="1" width="10.42578125" bestFit="1" customWidth="1"/>
    <col min="2" max="2" width="19.28515625" bestFit="1" customWidth="1"/>
    <col min="3" max="3" width="16.42578125" bestFit="1" customWidth="1"/>
    <col min="4" max="4" width="21" bestFit="1" customWidth="1"/>
    <col min="5" max="5" width="26" bestFit="1" customWidth="1"/>
    <col min="6" max="6" width="16.140625" bestFit="1" customWidth="1"/>
    <col min="7" max="7" width="15.7109375" bestFit="1" customWidth="1"/>
    <col min="8" max="8" width="16.85546875" bestFit="1" customWidth="1"/>
    <col min="9" max="9" width="22.7109375" bestFit="1" customWidth="1"/>
    <col min="10" max="10" width="32" bestFit="1" customWidth="1"/>
    <col min="11" max="11" width="12.5703125" bestFit="1" customWidth="1"/>
    <col min="12" max="12" width="9.42578125" bestFit="1" customWidth="1"/>
    <col min="13" max="13" width="78.42578125" bestFit="1" customWidth="1"/>
    <col min="14" max="14" width="18" bestFit="1" customWidth="1"/>
    <col min="15" max="15" width="9.28515625" bestFit="1" customWidth="1"/>
    <col min="16" max="16" width="9.85546875" bestFit="1" customWidth="1"/>
    <col min="17" max="17" width="9.28515625" bestFit="1" customWidth="1"/>
  </cols>
  <sheetData>
    <row r="1" spans="1:17" x14ac:dyDescent="0.25">
      <c r="A1" s="11" t="s">
        <v>201</v>
      </c>
    </row>
    <row r="3" spans="1:17" x14ac:dyDescent="0.25">
      <c r="A3" t="s">
        <v>8</v>
      </c>
      <c r="B3" t="s">
        <v>21</v>
      </c>
      <c r="C3" t="s">
        <v>20</v>
      </c>
      <c r="D3" t="s">
        <v>193</v>
      </c>
      <c r="E3" t="s">
        <v>9</v>
      </c>
      <c r="F3" t="s">
        <v>19</v>
      </c>
      <c r="G3" t="s">
        <v>18</v>
      </c>
      <c r="H3" t="s">
        <v>6</v>
      </c>
      <c r="I3" t="s">
        <v>16</v>
      </c>
      <c r="J3" t="s">
        <v>15</v>
      </c>
      <c r="K3" t="s">
        <v>14</v>
      </c>
      <c r="L3" t="s">
        <v>13</v>
      </c>
      <c r="M3" t="s">
        <v>12</v>
      </c>
      <c r="N3" t="s">
        <v>17</v>
      </c>
      <c r="O3" t="s">
        <v>7</v>
      </c>
      <c r="P3" t="s">
        <v>11</v>
      </c>
      <c r="Q3" t="s">
        <v>10</v>
      </c>
    </row>
    <row r="4" spans="1:17" x14ac:dyDescent="0.25">
      <c r="A4" s="1">
        <v>45772</v>
      </c>
      <c r="B4" t="s">
        <v>62</v>
      </c>
      <c r="C4" t="s">
        <v>5</v>
      </c>
      <c r="D4" t="s">
        <v>4</v>
      </c>
      <c r="E4" t="s">
        <v>61</v>
      </c>
      <c r="F4">
        <v>125</v>
      </c>
      <c r="G4">
        <v>84</v>
      </c>
      <c r="H4" t="s">
        <v>49</v>
      </c>
      <c r="I4" t="s">
        <v>60</v>
      </c>
      <c r="J4">
        <v>180</v>
      </c>
      <c r="K4" t="b">
        <v>1</v>
      </c>
      <c r="L4" t="s">
        <v>59</v>
      </c>
      <c r="M4" t="s">
        <v>58</v>
      </c>
      <c r="N4">
        <v>41</v>
      </c>
      <c r="O4">
        <v>2025</v>
      </c>
      <c r="P4" t="s">
        <v>57</v>
      </c>
      <c r="Q4" t="s">
        <v>56</v>
      </c>
    </row>
    <row r="5" spans="1:17" x14ac:dyDescent="0.25">
      <c r="A5" s="1">
        <v>45756</v>
      </c>
      <c r="B5" t="s">
        <v>62</v>
      </c>
      <c r="C5" t="s">
        <v>5</v>
      </c>
      <c r="D5" t="s">
        <v>4</v>
      </c>
      <c r="E5" t="s">
        <v>61</v>
      </c>
      <c r="F5">
        <v>84</v>
      </c>
      <c r="G5">
        <v>34</v>
      </c>
      <c r="H5" t="s">
        <v>49</v>
      </c>
      <c r="I5" t="s">
        <v>60</v>
      </c>
      <c r="J5">
        <v>180</v>
      </c>
      <c r="K5" t="b">
        <v>1</v>
      </c>
      <c r="L5" t="s">
        <v>59</v>
      </c>
      <c r="M5" t="s">
        <v>72</v>
      </c>
      <c r="N5">
        <v>50</v>
      </c>
      <c r="O5">
        <v>2025</v>
      </c>
      <c r="P5" t="s">
        <v>57</v>
      </c>
      <c r="Q5" t="s">
        <v>56</v>
      </c>
    </row>
    <row r="6" spans="1:17" x14ac:dyDescent="0.25">
      <c r="A6" s="1">
        <v>45751</v>
      </c>
      <c r="B6" t="s">
        <v>62</v>
      </c>
      <c r="C6" t="s">
        <v>5</v>
      </c>
      <c r="D6" t="s">
        <v>4</v>
      </c>
      <c r="E6" t="s">
        <v>61</v>
      </c>
      <c r="F6">
        <v>34</v>
      </c>
      <c r="G6">
        <v>15</v>
      </c>
      <c r="H6" t="s">
        <v>49</v>
      </c>
      <c r="I6" t="s">
        <v>60</v>
      </c>
      <c r="J6">
        <v>180</v>
      </c>
      <c r="K6" t="b">
        <v>1</v>
      </c>
      <c r="L6" t="s">
        <v>59</v>
      </c>
      <c r="M6" t="s">
        <v>73</v>
      </c>
      <c r="N6">
        <v>19</v>
      </c>
      <c r="O6">
        <v>2025</v>
      </c>
      <c r="P6" t="s">
        <v>57</v>
      </c>
      <c r="Q6" t="s">
        <v>56</v>
      </c>
    </row>
    <row r="7" spans="1:17" x14ac:dyDescent="0.25">
      <c r="A7" s="1">
        <v>45692</v>
      </c>
      <c r="B7" t="s">
        <v>62</v>
      </c>
      <c r="C7" t="s">
        <v>5</v>
      </c>
      <c r="D7" t="s">
        <v>4</v>
      </c>
      <c r="E7" t="s">
        <v>95</v>
      </c>
      <c r="F7">
        <v>15</v>
      </c>
      <c r="G7">
        <v>0</v>
      </c>
      <c r="H7" t="s">
        <v>49</v>
      </c>
      <c r="I7" t="s">
        <v>60</v>
      </c>
      <c r="J7">
        <v>80</v>
      </c>
      <c r="K7" t="b">
        <v>1</v>
      </c>
      <c r="L7" t="s">
        <v>59</v>
      </c>
      <c r="M7" t="s">
        <v>94</v>
      </c>
      <c r="N7">
        <v>15</v>
      </c>
      <c r="O7">
        <v>2025</v>
      </c>
      <c r="P7" t="s">
        <v>78</v>
      </c>
      <c r="Q7" t="s">
        <v>88</v>
      </c>
    </row>
    <row r="8" spans="1:17" x14ac:dyDescent="0.25">
      <c r="A8" s="1">
        <v>45630</v>
      </c>
      <c r="B8" t="s">
        <v>62</v>
      </c>
      <c r="C8" t="s">
        <v>67</v>
      </c>
      <c r="D8" t="s">
        <v>4</v>
      </c>
      <c r="E8" t="s">
        <v>105</v>
      </c>
      <c r="F8">
        <v>30</v>
      </c>
      <c r="G8">
        <v>0</v>
      </c>
      <c r="H8" t="s">
        <v>49</v>
      </c>
      <c r="I8" t="s">
        <v>60</v>
      </c>
      <c r="J8">
        <v>3</v>
      </c>
      <c r="K8" t="b">
        <v>1</v>
      </c>
      <c r="L8" t="s">
        <v>59</v>
      </c>
      <c r="M8" t="s">
        <v>104</v>
      </c>
      <c r="N8">
        <v>30</v>
      </c>
      <c r="O8">
        <v>2024</v>
      </c>
      <c r="P8" t="s">
        <v>103</v>
      </c>
      <c r="Q8" t="s">
        <v>102</v>
      </c>
    </row>
    <row r="9" spans="1:17" x14ac:dyDescent="0.25">
      <c r="A9" s="1">
        <v>45261</v>
      </c>
      <c r="B9" t="s">
        <v>62</v>
      </c>
      <c r="C9" t="s">
        <v>76</v>
      </c>
      <c r="D9" t="s">
        <v>4</v>
      </c>
      <c r="E9" t="s">
        <v>122</v>
      </c>
      <c r="F9">
        <v>100</v>
      </c>
      <c r="G9">
        <v>0</v>
      </c>
      <c r="H9" t="s">
        <v>121</v>
      </c>
      <c r="I9" t="s">
        <v>120</v>
      </c>
      <c r="J9">
        <v>3</v>
      </c>
      <c r="K9" t="b">
        <v>1</v>
      </c>
      <c r="L9" t="s">
        <v>59</v>
      </c>
      <c r="M9" t="s">
        <v>119</v>
      </c>
      <c r="N9">
        <v>100</v>
      </c>
      <c r="O9">
        <v>2023</v>
      </c>
      <c r="P9" t="s">
        <v>118</v>
      </c>
      <c r="Q9" t="s">
        <v>117</v>
      </c>
    </row>
    <row r="10" spans="1:17" x14ac:dyDescent="0.25">
      <c r="A10" s="1">
        <v>43287</v>
      </c>
      <c r="B10" t="s">
        <v>62</v>
      </c>
      <c r="C10" t="s">
        <v>5</v>
      </c>
      <c r="D10" t="s">
        <v>4</v>
      </c>
      <c r="E10" t="s">
        <v>171</v>
      </c>
      <c r="F10">
        <v>25</v>
      </c>
      <c r="G10">
        <v>0</v>
      </c>
      <c r="H10" t="s">
        <v>49</v>
      </c>
      <c r="I10" t="s">
        <v>60</v>
      </c>
      <c r="J10">
        <v>34</v>
      </c>
      <c r="K10" t="b">
        <v>1</v>
      </c>
      <c r="L10" t="s">
        <v>59</v>
      </c>
      <c r="M10" t="s">
        <v>170</v>
      </c>
      <c r="N10">
        <v>25</v>
      </c>
      <c r="O10">
        <v>2018</v>
      </c>
      <c r="P10" t="s">
        <v>160</v>
      </c>
      <c r="Q10" t="s">
        <v>169</v>
      </c>
    </row>
    <row r="11" spans="1:17" x14ac:dyDescent="0.25">
      <c r="A11" s="1">
        <v>45110</v>
      </c>
      <c r="B11" t="s">
        <v>62</v>
      </c>
      <c r="C11" t="s">
        <v>76</v>
      </c>
      <c r="D11" t="s">
        <v>4</v>
      </c>
      <c r="E11" t="s">
        <v>126</v>
      </c>
      <c r="F11">
        <v>100</v>
      </c>
      <c r="G11">
        <v>0</v>
      </c>
      <c r="H11" t="s">
        <v>121</v>
      </c>
      <c r="I11" t="s">
        <v>120</v>
      </c>
      <c r="J11">
        <v>1.5</v>
      </c>
      <c r="K11" t="b">
        <v>1</v>
      </c>
      <c r="L11" t="s">
        <v>59</v>
      </c>
      <c r="M11" t="s">
        <v>125</v>
      </c>
      <c r="N11">
        <v>100</v>
      </c>
      <c r="O11">
        <v>2023</v>
      </c>
      <c r="P11" t="s">
        <v>124</v>
      </c>
      <c r="Q11" t="s">
        <v>123</v>
      </c>
    </row>
    <row r="12" spans="1:17" x14ac:dyDescent="0.25">
      <c r="A12" s="1">
        <v>43335</v>
      </c>
      <c r="B12" t="s">
        <v>62</v>
      </c>
      <c r="C12" t="s">
        <v>5</v>
      </c>
      <c r="D12" t="s">
        <v>4</v>
      </c>
      <c r="E12" t="s">
        <v>166</v>
      </c>
      <c r="F12">
        <v>25</v>
      </c>
      <c r="G12">
        <v>0</v>
      </c>
      <c r="H12" t="s">
        <v>49</v>
      </c>
      <c r="I12" t="s">
        <v>60</v>
      </c>
      <c r="J12">
        <v>16</v>
      </c>
      <c r="K12" t="b">
        <v>1</v>
      </c>
      <c r="L12" t="s">
        <v>59</v>
      </c>
      <c r="M12" t="s">
        <v>165</v>
      </c>
      <c r="N12">
        <v>25</v>
      </c>
      <c r="O12">
        <v>2018</v>
      </c>
      <c r="P12" t="s">
        <v>160</v>
      </c>
      <c r="Q12" t="s">
        <v>164</v>
      </c>
    </row>
    <row r="13" spans="1:17" x14ac:dyDescent="0.25">
      <c r="A13" s="1">
        <v>43367</v>
      </c>
      <c r="B13" t="s">
        <v>62</v>
      </c>
      <c r="C13" t="s">
        <v>5</v>
      </c>
      <c r="D13" t="s">
        <v>4</v>
      </c>
      <c r="E13" t="s">
        <v>163</v>
      </c>
      <c r="F13">
        <v>10</v>
      </c>
      <c r="G13">
        <v>0</v>
      </c>
      <c r="H13" t="s">
        <v>49</v>
      </c>
      <c r="I13" t="s">
        <v>60</v>
      </c>
      <c r="J13">
        <v>60</v>
      </c>
      <c r="K13" t="b">
        <v>1</v>
      </c>
      <c r="L13" t="s">
        <v>59</v>
      </c>
      <c r="M13" t="s">
        <v>162</v>
      </c>
      <c r="N13">
        <v>10</v>
      </c>
      <c r="O13">
        <v>2018</v>
      </c>
      <c r="P13" t="s">
        <v>160</v>
      </c>
      <c r="Q13" t="s">
        <v>159</v>
      </c>
    </row>
    <row r="14" spans="1:17" x14ac:dyDescent="0.25">
      <c r="A14" s="1">
        <v>43617</v>
      </c>
      <c r="B14" t="s">
        <v>62</v>
      </c>
      <c r="C14" t="s">
        <v>5</v>
      </c>
      <c r="D14" t="s">
        <v>4</v>
      </c>
      <c r="E14" t="s">
        <v>155</v>
      </c>
      <c r="F14">
        <v>25</v>
      </c>
      <c r="G14">
        <v>10</v>
      </c>
      <c r="H14" t="s">
        <v>69</v>
      </c>
      <c r="I14" t="s">
        <v>60</v>
      </c>
      <c r="J14">
        <v>60</v>
      </c>
      <c r="K14" t="b">
        <v>1</v>
      </c>
      <c r="L14" t="s">
        <v>59</v>
      </c>
      <c r="M14" t="s">
        <v>154</v>
      </c>
      <c r="N14">
        <v>15</v>
      </c>
      <c r="O14">
        <v>2019</v>
      </c>
      <c r="P14" t="s">
        <v>153</v>
      </c>
      <c r="Q14" t="s">
        <v>152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51C4-C49A-41D9-9F05-1BD1EF3161EF}">
  <dimension ref="A3:B19"/>
  <sheetViews>
    <sheetView workbookViewId="0">
      <selection activeCell="M5" sqref="M5"/>
    </sheetView>
  </sheetViews>
  <sheetFormatPr defaultRowHeight="15" x14ac:dyDescent="0.25"/>
  <cols>
    <col min="1" max="1" width="24" bestFit="1" customWidth="1"/>
    <col min="2" max="2" width="15" bestFit="1" customWidth="1"/>
  </cols>
  <sheetData>
    <row r="3" spans="1:2" x14ac:dyDescent="0.25">
      <c r="A3" s="7" t="s">
        <v>194</v>
      </c>
      <c r="B3" t="s">
        <v>196</v>
      </c>
    </row>
    <row r="4" spans="1:2" x14ac:dyDescent="0.25">
      <c r="A4" s="8" t="s">
        <v>28</v>
      </c>
      <c r="B4" s="10">
        <v>1</v>
      </c>
    </row>
    <row r="5" spans="1:2" x14ac:dyDescent="0.25">
      <c r="A5" s="8" t="s">
        <v>130</v>
      </c>
      <c r="B5" s="10">
        <v>1</v>
      </c>
    </row>
    <row r="6" spans="1:2" x14ac:dyDescent="0.25">
      <c r="A6" s="8" t="s">
        <v>35</v>
      </c>
      <c r="B6" s="10">
        <v>1</v>
      </c>
    </row>
    <row r="7" spans="1:2" x14ac:dyDescent="0.25">
      <c r="A7" s="8" t="s">
        <v>90</v>
      </c>
      <c r="B7" s="10">
        <v>2</v>
      </c>
    </row>
    <row r="8" spans="1:2" x14ac:dyDescent="0.25">
      <c r="A8" s="8" t="s">
        <v>37</v>
      </c>
      <c r="B8" s="10">
        <v>2</v>
      </c>
    </row>
    <row r="9" spans="1:2" x14ac:dyDescent="0.25">
      <c r="A9" s="8" t="s">
        <v>177</v>
      </c>
      <c r="B9" s="10">
        <v>1</v>
      </c>
    </row>
    <row r="10" spans="1:2" x14ac:dyDescent="0.25">
      <c r="A10" s="8" t="s">
        <v>64</v>
      </c>
      <c r="B10" s="10">
        <v>4</v>
      </c>
    </row>
    <row r="11" spans="1:2" x14ac:dyDescent="0.25">
      <c r="A11" s="8" t="s">
        <v>80</v>
      </c>
      <c r="B11" s="10">
        <v>3</v>
      </c>
    </row>
    <row r="12" spans="1:2" x14ac:dyDescent="0.25">
      <c r="A12" s="8" t="s">
        <v>33</v>
      </c>
      <c r="B12" s="10">
        <v>1</v>
      </c>
    </row>
    <row r="13" spans="1:2" x14ac:dyDescent="0.25">
      <c r="A13" s="8" t="s">
        <v>47</v>
      </c>
      <c r="B13" s="10">
        <v>1</v>
      </c>
    </row>
    <row r="14" spans="1:2" x14ac:dyDescent="0.25">
      <c r="A14" s="8" t="s">
        <v>59</v>
      </c>
      <c r="B14" s="10">
        <v>11</v>
      </c>
    </row>
    <row r="15" spans="1:2" x14ac:dyDescent="0.25">
      <c r="A15" s="8" t="s">
        <v>41</v>
      </c>
      <c r="B15" s="10">
        <v>1</v>
      </c>
    </row>
    <row r="16" spans="1:2" x14ac:dyDescent="0.25">
      <c r="A16" s="8" t="s">
        <v>43</v>
      </c>
      <c r="B16" s="10">
        <v>1</v>
      </c>
    </row>
    <row r="17" spans="1:2" x14ac:dyDescent="0.25">
      <c r="A17" s="8" t="s">
        <v>52</v>
      </c>
      <c r="B17" s="10">
        <v>14</v>
      </c>
    </row>
    <row r="18" spans="1:2" x14ac:dyDescent="0.25">
      <c r="A18" s="8" t="s">
        <v>87</v>
      </c>
      <c r="B18" s="10">
        <v>5</v>
      </c>
    </row>
    <row r="19" spans="1:2" x14ac:dyDescent="0.25">
      <c r="A19" s="8" t="s">
        <v>195</v>
      </c>
      <c r="B19" s="10">
        <v>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5D4D-70C5-4AE8-9509-FC61A805DD16}">
  <dimension ref="A1:B32"/>
  <sheetViews>
    <sheetView workbookViewId="0">
      <selection activeCell="A16" sqref="A1:B32"/>
    </sheetView>
  </sheetViews>
  <sheetFormatPr defaultRowHeight="15" x14ac:dyDescent="0.25"/>
  <cols>
    <col min="1" max="1" width="38.42578125" bestFit="1" customWidth="1"/>
    <col min="2" max="2" width="14.5703125" bestFit="1" customWidth="1"/>
  </cols>
  <sheetData>
    <row r="1" spans="1:2" x14ac:dyDescent="0.25">
      <c r="A1" s="7" t="s">
        <v>194</v>
      </c>
      <c r="B1" t="s">
        <v>197</v>
      </c>
    </row>
    <row r="2" spans="1:2" x14ac:dyDescent="0.25">
      <c r="A2" s="8" t="s">
        <v>24</v>
      </c>
      <c r="B2" s="10">
        <v>1</v>
      </c>
    </row>
    <row r="3" spans="1:2" x14ac:dyDescent="0.25">
      <c r="A3" s="8" t="s">
        <v>171</v>
      </c>
      <c r="B3" s="10">
        <v>1</v>
      </c>
    </row>
    <row r="4" spans="1:2" x14ac:dyDescent="0.25">
      <c r="A4" s="8" t="s">
        <v>95</v>
      </c>
      <c r="B4" s="10">
        <v>1</v>
      </c>
    </row>
    <row r="5" spans="1:2" x14ac:dyDescent="0.25">
      <c r="A5" s="8" t="s">
        <v>155</v>
      </c>
      <c r="B5" s="10">
        <v>1</v>
      </c>
    </row>
    <row r="6" spans="1:2" x14ac:dyDescent="0.25">
      <c r="A6" s="8" t="s">
        <v>143</v>
      </c>
      <c r="B6" s="10">
        <v>1</v>
      </c>
    </row>
    <row r="7" spans="1:2" x14ac:dyDescent="0.25">
      <c r="A7" s="8" t="s">
        <v>61</v>
      </c>
      <c r="B7" s="10">
        <v>10</v>
      </c>
    </row>
    <row r="8" spans="1:2" x14ac:dyDescent="0.25">
      <c r="A8" s="8" t="s">
        <v>187</v>
      </c>
      <c r="B8" s="10">
        <v>1</v>
      </c>
    </row>
    <row r="9" spans="1:2" x14ac:dyDescent="0.25">
      <c r="A9" s="8" t="s">
        <v>166</v>
      </c>
      <c r="B9" s="10">
        <v>1</v>
      </c>
    </row>
    <row r="10" spans="1:2" x14ac:dyDescent="0.25">
      <c r="A10" s="8" t="s">
        <v>151</v>
      </c>
      <c r="B10" s="10">
        <v>1</v>
      </c>
    </row>
    <row r="11" spans="1:2" x14ac:dyDescent="0.25">
      <c r="A11" s="8" t="s">
        <v>158</v>
      </c>
      <c r="B11" s="10">
        <v>2</v>
      </c>
    </row>
    <row r="12" spans="1:2" x14ac:dyDescent="0.25">
      <c r="A12" s="8" t="s">
        <v>147</v>
      </c>
      <c r="B12" s="10">
        <v>1</v>
      </c>
    </row>
    <row r="13" spans="1:2" x14ac:dyDescent="0.25">
      <c r="A13" s="8" t="s">
        <v>92</v>
      </c>
      <c r="B13" s="10">
        <v>1</v>
      </c>
    </row>
    <row r="14" spans="1:2" x14ac:dyDescent="0.25">
      <c r="A14" s="8" t="s">
        <v>105</v>
      </c>
      <c r="B14" s="10">
        <v>1</v>
      </c>
    </row>
    <row r="15" spans="1:2" x14ac:dyDescent="0.25">
      <c r="A15" s="8" t="s">
        <v>109</v>
      </c>
      <c r="B15" s="10">
        <v>2</v>
      </c>
    </row>
    <row r="16" spans="1:2" x14ac:dyDescent="0.25">
      <c r="A16" s="8" t="s">
        <v>126</v>
      </c>
      <c r="B16" s="10">
        <v>1</v>
      </c>
    </row>
    <row r="17" spans="1:2" x14ac:dyDescent="0.25">
      <c r="A17" s="8" t="s">
        <v>30</v>
      </c>
      <c r="B17" s="10">
        <v>7</v>
      </c>
    </row>
    <row r="18" spans="1:2" x14ac:dyDescent="0.25">
      <c r="A18" s="8" t="s">
        <v>122</v>
      </c>
      <c r="B18" s="10">
        <v>1</v>
      </c>
    </row>
    <row r="19" spans="1:2" x14ac:dyDescent="0.25">
      <c r="A19" s="8" t="s">
        <v>163</v>
      </c>
      <c r="B19" s="10">
        <v>1</v>
      </c>
    </row>
    <row r="20" spans="1:2" x14ac:dyDescent="0.25">
      <c r="A20" s="8" t="s">
        <v>55</v>
      </c>
      <c r="B20" s="10">
        <v>1</v>
      </c>
    </row>
    <row r="21" spans="1:2" x14ac:dyDescent="0.25">
      <c r="A21" s="8" t="s">
        <v>23</v>
      </c>
      <c r="B21" s="10">
        <v>1</v>
      </c>
    </row>
    <row r="22" spans="1:2" x14ac:dyDescent="0.25">
      <c r="A22" s="8" t="s">
        <v>133</v>
      </c>
      <c r="B22" s="10">
        <v>1</v>
      </c>
    </row>
    <row r="23" spans="1:2" x14ac:dyDescent="0.25">
      <c r="A23" s="8" t="s">
        <v>168</v>
      </c>
      <c r="B23" s="10">
        <v>1</v>
      </c>
    </row>
    <row r="24" spans="1:2" x14ac:dyDescent="0.25">
      <c r="A24" s="8" t="s">
        <v>83</v>
      </c>
      <c r="B24" s="10">
        <v>2</v>
      </c>
    </row>
    <row r="25" spans="1:2" x14ac:dyDescent="0.25">
      <c r="A25" s="8" t="s">
        <v>66</v>
      </c>
      <c r="B25" s="10">
        <v>1</v>
      </c>
    </row>
    <row r="26" spans="1:2" x14ac:dyDescent="0.25">
      <c r="A26" s="8" t="s">
        <v>114</v>
      </c>
      <c r="B26" s="10">
        <v>2</v>
      </c>
    </row>
    <row r="27" spans="1:2" x14ac:dyDescent="0.25">
      <c r="A27" s="8" t="s">
        <v>181</v>
      </c>
      <c r="B27" s="10">
        <v>1</v>
      </c>
    </row>
    <row r="28" spans="1:2" x14ac:dyDescent="0.25">
      <c r="A28" s="8" t="s">
        <v>85</v>
      </c>
      <c r="B28" s="10">
        <v>1</v>
      </c>
    </row>
    <row r="29" spans="1:2" x14ac:dyDescent="0.25">
      <c r="A29" s="8" t="s">
        <v>183</v>
      </c>
      <c r="B29" s="10">
        <v>1</v>
      </c>
    </row>
    <row r="30" spans="1:2" x14ac:dyDescent="0.25">
      <c r="A30" s="8" t="s">
        <v>179</v>
      </c>
      <c r="B30" s="10">
        <v>1</v>
      </c>
    </row>
    <row r="31" spans="1:2" x14ac:dyDescent="0.25">
      <c r="A31" s="8" t="s">
        <v>173</v>
      </c>
      <c r="B31" s="10">
        <v>1</v>
      </c>
    </row>
    <row r="32" spans="1:2" x14ac:dyDescent="0.25">
      <c r="A32" s="8" t="s">
        <v>195</v>
      </c>
      <c r="B32" s="10">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AC12-29FA-4126-B9ED-19E0F0BA5FA4}">
  <dimension ref="A2:B12"/>
  <sheetViews>
    <sheetView workbookViewId="0">
      <selection activeCell="J19" sqref="J19"/>
    </sheetView>
  </sheetViews>
  <sheetFormatPr defaultRowHeight="15" x14ac:dyDescent="0.25"/>
  <cols>
    <col min="1" max="1" width="13.140625" bestFit="1" customWidth="1"/>
    <col min="2" max="2" width="24.140625" bestFit="1" customWidth="1"/>
    <col min="3" max="3" width="20.5703125" bestFit="1" customWidth="1"/>
  </cols>
  <sheetData>
    <row r="2" spans="1:2" x14ac:dyDescent="0.25">
      <c r="A2" s="7" t="s">
        <v>194</v>
      </c>
      <c r="B2" s="9" t="s">
        <v>198</v>
      </c>
    </row>
    <row r="3" spans="1:2" x14ac:dyDescent="0.25">
      <c r="A3" s="8">
        <v>2018</v>
      </c>
      <c r="B3" s="9">
        <v>20.454545454545453</v>
      </c>
    </row>
    <row r="4" spans="1:2" x14ac:dyDescent="0.25">
      <c r="A4" s="8">
        <v>2019</v>
      </c>
      <c r="B4" s="9">
        <v>21.666666666666668</v>
      </c>
    </row>
    <row r="5" spans="1:2" x14ac:dyDescent="0.25">
      <c r="A5" s="8">
        <v>2020</v>
      </c>
      <c r="B5" s="9">
        <v>16.25</v>
      </c>
    </row>
    <row r="6" spans="1:2" x14ac:dyDescent="0.25">
      <c r="A6" s="8">
        <v>2021</v>
      </c>
      <c r="B6" s="9">
        <v>0</v>
      </c>
    </row>
    <row r="7" spans="1:2" x14ac:dyDescent="0.25">
      <c r="A7" s="8">
        <v>2022</v>
      </c>
      <c r="B7" s="9">
        <v>25</v>
      </c>
    </row>
    <row r="8" spans="1:2" x14ac:dyDescent="0.25">
      <c r="A8" s="8">
        <v>2023</v>
      </c>
      <c r="B8" s="9">
        <v>100</v>
      </c>
    </row>
    <row r="9" spans="1:2" x14ac:dyDescent="0.25">
      <c r="A9" s="8">
        <v>2024</v>
      </c>
      <c r="B9" s="9">
        <v>48</v>
      </c>
    </row>
    <row r="10" spans="1:2" x14ac:dyDescent="0.25">
      <c r="A10" s="8">
        <v>2025</v>
      </c>
      <c r="B10" s="9">
        <v>43.470588235294116</v>
      </c>
    </row>
    <row r="11" spans="1:2" x14ac:dyDescent="0.25">
      <c r="A11" s="8">
        <v>2026</v>
      </c>
      <c r="B11" s="9">
        <v>30</v>
      </c>
    </row>
    <row r="12" spans="1:2" x14ac:dyDescent="0.25">
      <c r="A12" s="8" t="s">
        <v>195</v>
      </c>
      <c r="B12" s="9">
        <v>35.438775510204081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2057-FBCB-4D3B-8A57-A8DF8F9755C6}">
  <dimension ref="A2:B14"/>
  <sheetViews>
    <sheetView workbookViewId="0">
      <selection activeCell="O12" sqref="O12"/>
    </sheetView>
  </sheetViews>
  <sheetFormatPr defaultRowHeight="15" x14ac:dyDescent="0.25"/>
  <cols>
    <col min="1" max="1" width="13.140625" bestFit="1" customWidth="1"/>
    <col min="2" max="2" width="24.140625" bestFit="1" customWidth="1"/>
    <col min="3" max="3" width="20.5703125" bestFit="1" customWidth="1"/>
  </cols>
  <sheetData>
    <row r="2" spans="1:2" x14ac:dyDescent="0.25">
      <c r="A2" s="7" t="s">
        <v>194</v>
      </c>
      <c r="B2" s="9" t="s">
        <v>198</v>
      </c>
    </row>
    <row r="3" spans="1:2" x14ac:dyDescent="0.25">
      <c r="A3" s="8" t="s">
        <v>76</v>
      </c>
      <c r="B3" s="9">
        <v>45</v>
      </c>
    </row>
    <row r="4" spans="1:2" x14ac:dyDescent="0.25">
      <c r="A4" s="8" t="s">
        <v>93</v>
      </c>
      <c r="B4" s="9">
        <v>25</v>
      </c>
    </row>
    <row r="5" spans="1:2" x14ac:dyDescent="0.25">
      <c r="A5" s="8" t="s">
        <v>4</v>
      </c>
      <c r="B5" s="9">
        <v>50</v>
      </c>
    </row>
    <row r="6" spans="1:2" x14ac:dyDescent="0.25">
      <c r="A6" s="8" t="s">
        <v>62</v>
      </c>
      <c r="B6" s="9">
        <v>36.964285714285715</v>
      </c>
    </row>
    <row r="7" spans="1:2" x14ac:dyDescent="0.25">
      <c r="A7" s="8" t="s">
        <v>31</v>
      </c>
      <c r="B7" s="9">
        <v>25</v>
      </c>
    </row>
    <row r="8" spans="1:2" x14ac:dyDescent="0.25">
      <c r="A8" s="8" t="s">
        <v>67</v>
      </c>
      <c r="B8" s="9">
        <v>18.75</v>
      </c>
    </row>
    <row r="9" spans="1:2" x14ac:dyDescent="0.25">
      <c r="A9" s="8" t="s">
        <v>22</v>
      </c>
      <c r="B9" s="9">
        <v>30</v>
      </c>
    </row>
    <row r="10" spans="1:2" x14ac:dyDescent="0.25">
      <c r="A10" s="8" t="s">
        <v>50</v>
      </c>
      <c r="B10" s="9">
        <v>26</v>
      </c>
    </row>
    <row r="11" spans="1:2" x14ac:dyDescent="0.25">
      <c r="A11" s="8" t="s">
        <v>97</v>
      </c>
      <c r="B11" s="9">
        <v>25</v>
      </c>
    </row>
    <row r="12" spans="1:2" x14ac:dyDescent="0.25">
      <c r="A12" s="8" t="s">
        <v>0</v>
      </c>
      <c r="B12" s="9">
        <v>25</v>
      </c>
    </row>
    <row r="13" spans="1:2" x14ac:dyDescent="0.25">
      <c r="A13" s="8" t="s">
        <v>5</v>
      </c>
      <c r="B13" s="9">
        <v>39.200000000000003</v>
      </c>
    </row>
    <row r="14" spans="1:2" x14ac:dyDescent="0.25">
      <c r="A14" s="8" t="s">
        <v>195</v>
      </c>
      <c r="B14" s="9">
        <v>35.438775510204081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E834-2DE8-451A-A47A-A3603F0D0B24}">
  <dimension ref="A3:G45"/>
  <sheetViews>
    <sheetView workbookViewId="0">
      <selection activeCell="F4" sqref="F4"/>
    </sheetView>
  </sheetViews>
  <sheetFormatPr defaultRowHeight="15" x14ac:dyDescent="0.25"/>
  <cols>
    <col min="1" max="1" width="43.28515625" bestFit="1" customWidth="1"/>
    <col min="2" max="2" width="27" bestFit="1" customWidth="1"/>
    <col min="3" max="3" width="20.5703125" style="9" bestFit="1" customWidth="1"/>
    <col min="4" max="4" width="24.140625" bestFit="1" customWidth="1"/>
    <col min="5" max="5" width="11.42578125" bestFit="1" customWidth="1"/>
    <col min="6" max="7" width="16.42578125" customWidth="1"/>
  </cols>
  <sheetData>
    <row r="3" spans="1:7" ht="30" x14ac:dyDescent="0.25">
      <c r="A3" s="7" t="s">
        <v>194</v>
      </c>
      <c r="B3" t="s">
        <v>199</v>
      </c>
      <c r="C3" t="s">
        <v>200</v>
      </c>
      <c r="D3" t="s">
        <v>198</v>
      </c>
      <c r="F3" s="3" t="s">
        <v>202</v>
      </c>
      <c r="G3" s="3" t="s">
        <v>203</v>
      </c>
    </row>
    <row r="4" spans="1:7" x14ac:dyDescent="0.25">
      <c r="A4" s="8" t="s">
        <v>3</v>
      </c>
      <c r="B4" s="10">
        <v>2</v>
      </c>
      <c r="C4" s="10">
        <v>25</v>
      </c>
      <c r="D4" s="9">
        <v>25</v>
      </c>
      <c r="F4" s="4" t="s">
        <v>204</v>
      </c>
      <c r="G4" s="4">
        <f>MAX(C4:C9)</f>
        <v>145</v>
      </c>
    </row>
    <row r="5" spans="1:7" x14ac:dyDescent="0.25">
      <c r="A5" s="8" t="s">
        <v>4</v>
      </c>
      <c r="B5" s="10">
        <v>11</v>
      </c>
      <c r="C5" s="10">
        <v>125</v>
      </c>
      <c r="D5" s="9">
        <v>52.090909090909093</v>
      </c>
      <c r="F5" s="4" t="s">
        <v>205</v>
      </c>
      <c r="G5" s="12">
        <f>SUM(D4:D9)</f>
        <v>254.04090909090908</v>
      </c>
    </row>
    <row r="6" spans="1:7" ht="45" x14ac:dyDescent="0.25">
      <c r="A6" s="8" t="s">
        <v>192</v>
      </c>
      <c r="B6" s="10">
        <v>4</v>
      </c>
      <c r="C6" s="10">
        <v>35</v>
      </c>
      <c r="D6" s="9">
        <v>27.5</v>
      </c>
      <c r="F6" s="4" t="s">
        <v>206</v>
      </c>
      <c r="G6" s="4">
        <f>MAX(B4:B9)</f>
        <v>30</v>
      </c>
    </row>
    <row r="7" spans="1:7" x14ac:dyDescent="0.25">
      <c r="A7" s="8" t="s">
        <v>1</v>
      </c>
      <c r="B7" s="10">
        <v>1</v>
      </c>
      <c r="C7" s="10">
        <v>100</v>
      </c>
      <c r="D7" s="9">
        <v>100</v>
      </c>
    </row>
    <row r="8" spans="1:7" x14ac:dyDescent="0.25">
      <c r="A8" s="8" t="s">
        <v>2</v>
      </c>
      <c r="B8" s="10">
        <v>1</v>
      </c>
      <c r="C8" s="10">
        <v>20</v>
      </c>
      <c r="D8" s="9">
        <v>20</v>
      </c>
    </row>
    <row r="9" spans="1:7" x14ac:dyDescent="0.25">
      <c r="A9" s="8" t="s">
        <v>191</v>
      </c>
      <c r="B9" s="10">
        <v>30</v>
      </c>
      <c r="C9" s="10">
        <v>145</v>
      </c>
      <c r="D9" s="9">
        <v>29.45</v>
      </c>
    </row>
    <row r="10" spans="1:7" x14ac:dyDescent="0.25">
      <c r="A10" s="8" t="s">
        <v>195</v>
      </c>
      <c r="B10" s="10">
        <v>49</v>
      </c>
      <c r="C10" s="9">
        <v>145</v>
      </c>
      <c r="D10" s="9">
        <v>35.438775510204081</v>
      </c>
    </row>
    <row r="11" spans="1:7" x14ac:dyDescent="0.25">
      <c r="C11"/>
    </row>
    <row r="12" spans="1:7" x14ac:dyDescent="0.25">
      <c r="C12"/>
    </row>
    <row r="13" spans="1:7" x14ac:dyDescent="0.25">
      <c r="C13"/>
    </row>
    <row r="14" spans="1:7" x14ac:dyDescent="0.25">
      <c r="C14"/>
    </row>
    <row r="15" spans="1:7" x14ac:dyDescent="0.25">
      <c r="C15"/>
    </row>
    <row r="16" spans="1:7"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row r="33" spans="3:3" x14ac:dyDescent="0.25">
      <c r="C33"/>
    </row>
    <row r="34" spans="3:3" x14ac:dyDescent="0.25">
      <c r="C34"/>
    </row>
    <row r="35" spans="3:3" x14ac:dyDescent="0.25">
      <c r="C35"/>
    </row>
    <row r="36" spans="3:3" x14ac:dyDescent="0.25">
      <c r="C36"/>
    </row>
    <row r="37" spans="3:3" x14ac:dyDescent="0.25">
      <c r="C37"/>
    </row>
    <row r="38" spans="3:3" x14ac:dyDescent="0.25">
      <c r="C38"/>
    </row>
    <row r="39" spans="3:3" x14ac:dyDescent="0.25">
      <c r="C39"/>
    </row>
    <row r="40" spans="3:3" x14ac:dyDescent="0.25">
      <c r="C40"/>
    </row>
    <row r="41" spans="3:3" x14ac:dyDescent="0.25">
      <c r="C41"/>
    </row>
    <row r="42" spans="3:3" x14ac:dyDescent="0.25">
      <c r="C42"/>
    </row>
    <row r="43" spans="3:3" x14ac:dyDescent="0.25">
      <c r="C43"/>
    </row>
    <row r="44" spans="3:3" x14ac:dyDescent="0.25">
      <c r="C44"/>
    </row>
    <row r="45" spans="3:3" x14ac:dyDescent="0.25">
      <c r="C4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B382-B58A-4101-AA1C-CE6FE03802F7}">
  <dimension ref="A1"/>
  <sheetViews>
    <sheetView tabSelected="1" zoomScale="70" zoomScaleNormal="70" workbookViewId="0">
      <selection activeCell="Q4" sqref="Q4"/>
    </sheetView>
  </sheetViews>
  <sheetFormatPr defaultRowHeight="15" x14ac:dyDescent="0.25"/>
  <cols>
    <col min="1" max="1" width="43.28515625" bestFit="1" customWidth="1"/>
    <col min="2" max="2" width="36.42578125" bestFit="1" customWidth="1"/>
  </cols>
  <sheetData>
    <row r="1" ht="29.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tariff_timeline</vt:lpstr>
      <vt:lpstr>Sheet8</vt:lpstr>
      <vt:lpstr>Detail1</vt:lpstr>
      <vt:lpstr>Country Imposed Most Tariffs</vt:lpstr>
      <vt:lpstr>Sector was Target Most</vt:lpstr>
      <vt:lpstr>Trend Tariff by Year</vt:lpstr>
      <vt:lpstr>Country wise Tariff </vt:lpstr>
      <vt:lpstr>KPI details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Ankith R</dc:creator>
  <cp:lastModifiedBy>Ankith R</cp:lastModifiedBy>
  <dcterms:created xsi:type="dcterms:W3CDTF">2026-05-09T15:37:35Z</dcterms:created>
  <dcterms:modified xsi:type="dcterms:W3CDTF">2026-05-12T17:52:51Z</dcterms:modified>
</cp:coreProperties>
</file>